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bookViews>
    <workbookView xWindow="0" yWindow="0" windowWidth="20490" windowHeight="7020" tabRatio="810" firstSheet="1" activeTab="6"/>
  </bookViews>
  <sheets>
    <sheet name="NIFTY Next Expiry" sheetId="6" r:id="rId1"/>
    <sheet name="NIFTY Monthly Expiry" sheetId="8" r:id="rId2"/>
    <sheet name="BANKNIFTY Monthly Expiry" sheetId="7" r:id="rId3"/>
    <sheet name="Nifty Near Expiry" sheetId="2" r:id="rId4"/>
    <sheet name="BANKNIFTY Next Expiry" sheetId="5" r:id="rId5"/>
    <sheet name="BankNifty Near Expiry" sheetId="4" r:id="rId6"/>
    <sheet name="Analysis" sheetId="3" r:id="rId7"/>
  </sheets>
  <definedNames>
    <definedName name="ExternalData_1" localSheetId="5" hidden="1">'BankNifty Near Expiry'!$B$3:$AA$117</definedName>
    <definedName name="ExternalData_1" localSheetId="3" hidden="1">'Nifty Near Expiry'!$B$3:$AA$116</definedName>
    <definedName name="ExternalData_2" localSheetId="2" hidden="1">'BANKNIFTY Monthly Expiry'!$A$1:$Z$85</definedName>
    <definedName name="ExternalData_2" localSheetId="4" hidden="1">'BANKNIFTY Next Expiry'!$A$1:$Z$76</definedName>
    <definedName name="ExternalData_3" localSheetId="1" hidden="1">'NIFTY Monthly Expiry'!$A$1:$Z$81</definedName>
    <definedName name="ExternalData_3" localSheetId="0" hidden="1">'NIFTY Next Expiry'!$A$1:$Z$69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0" i="3" l="1"/>
  <c r="X10" i="3" s="1"/>
  <c r="Z2" i="3"/>
  <c r="I27" i="3"/>
  <c r="AD10" i="3" l="1"/>
  <c r="AF10" i="3"/>
  <c r="AB10" i="3"/>
  <c r="AA10" i="3"/>
  <c r="AC10" i="3"/>
  <c r="AE10" i="3"/>
  <c r="AG10" i="3"/>
  <c r="U10" i="3"/>
  <c r="T10" i="3"/>
  <c r="S10" i="3"/>
  <c r="W10" i="3"/>
  <c r="V10" i="3"/>
  <c r="I21" i="3"/>
  <c r="N21" i="3"/>
  <c r="Z54" i="3" l="1"/>
  <c r="AE2" i="3"/>
  <c r="N2" i="3"/>
  <c r="N40" i="3"/>
  <c r="AE46" i="3"/>
  <c r="Z46" i="3"/>
  <c r="Z32" i="3"/>
  <c r="AF32" i="3" s="1"/>
  <c r="AE24" i="3"/>
  <c r="Z24" i="3"/>
  <c r="I46" i="3"/>
  <c r="I40" i="3"/>
  <c r="I2" i="3"/>
  <c r="I8" i="3"/>
  <c r="Z9" i="3" l="1"/>
  <c r="Z8" i="3" s="1"/>
  <c r="Y10" i="3"/>
  <c r="D8" i="3"/>
  <c r="B8" i="3"/>
  <c r="C8" i="3"/>
  <c r="E8" i="3"/>
  <c r="G8" i="3"/>
  <c r="F8" i="3"/>
  <c r="P8" i="3"/>
  <c r="N8" i="3"/>
  <c r="H8" i="3"/>
  <c r="O8" i="3"/>
  <c r="M8" i="3"/>
  <c r="J8" i="3"/>
  <c r="L8" i="3"/>
  <c r="K8" i="3"/>
  <c r="I9" i="3"/>
  <c r="L46" i="3"/>
  <c r="K46" i="3"/>
  <c r="P46" i="3"/>
  <c r="M46" i="3"/>
  <c r="F46" i="3"/>
  <c r="H46" i="3"/>
  <c r="D46" i="3"/>
  <c r="E46" i="3"/>
  <c r="G46" i="3"/>
  <c r="C46" i="3"/>
  <c r="B46" i="3"/>
  <c r="O46" i="3"/>
  <c r="N46" i="3"/>
  <c r="J46" i="3"/>
  <c r="AC54" i="3"/>
  <c r="Y54" i="3"/>
  <c r="AA54" i="3"/>
  <c r="AE54" i="3"/>
  <c r="AF54" i="3"/>
  <c r="AG54" i="3"/>
  <c r="W54" i="3"/>
  <c r="U54" i="3"/>
  <c r="X54" i="3"/>
  <c r="T54" i="3"/>
  <c r="AB54" i="3"/>
  <c r="S54" i="3"/>
  <c r="AD54" i="3"/>
  <c r="V54" i="3"/>
  <c r="L27" i="3"/>
  <c r="F27" i="3"/>
  <c r="O27" i="3"/>
  <c r="M27" i="3"/>
  <c r="B27" i="3"/>
  <c r="J27" i="3"/>
  <c r="N27" i="3"/>
  <c r="D27" i="3"/>
  <c r="C27" i="3"/>
  <c r="E27" i="3"/>
  <c r="G27" i="3"/>
  <c r="H27" i="3"/>
  <c r="P27" i="3"/>
  <c r="K27" i="3"/>
  <c r="S32" i="3"/>
  <c r="U32" i="3"/>
  <c r="W32" i="3"/>
  <c r="AB32" i="3"/>
  <c r="AD32" i="3"/>
  <c r="V32" i="3"/>
  <c r="Y32" i="3"/>
  <c r="AG32" i="3"/>
  <c r="AC32" i="3"/>
  <c r="AA32" i="3"/>
  <c r="AE32" i="3"/>
  <c r="T32" i="3"/>
  <c r="X32" i="3"/>
  <c r="Z31" i="3"/>
  <c r="Z33" i="3"/>
  <c r="Z53" i="3"/>
  <c r="Z55" i="3"/>
  <c r="I47" i="3"/>
  <c r="I45" i="3"/>
  <c r="I28" i="3"/>
  <c r="I26" i="3"/>
  <c r="Z11" i="3"/>
  <c r="I7" i="3"/>
  <c r="AF11" i="3" l="1"/>
  <c r="AD11" i="3"/>
  <c r="AG11" i="3"/>
  <c r="AE11" i="3"/>
  <c r="AC11" i="3"/>
  <c r="AA11" i="3"/>
  <c r="AB11" i="3"/>
  <c r="AF8" i="3"/>
  <c r="AD8" i="3"/>
  <c r="AB8" i="3"/>
  <c r="AA8" i="3"/>
  <c r="AC8" i="3"/>
  <c r="AG8" i="3"/>
  <c r="AE8" i="3"/>
  <c r="AG9" i="3"/>
  <c r="AE9" i="3"/>
  <c r="AA9" i="3"/>
  <c r="AF9" i="3"/>
  <c r="AD9" i="3"/>
  <c r="AB9" i="3"/>
  <c r="AC9" i="3"/>
  <c r="U8" i="3"/>
  <c r="T8" i="3"/>
  <c r="S8" i="3"/>
  <c r="T11" i="3"/>
  <c r="U11" i="3"/>
  <c r="S11" i="3"/>
  <c r="S9" i="3"/>
  <c r="U9" i="3"/>
  <c r="T9" i="3"/>
  <c r="W11" i="3"/>
  <c r="V11" i="3"/>
  <c r="W8" i="3"/>
  <c r="V8" i="3"/>
  <c r="X9" i="3"/>
  <c r="V9" i="3"/>
  <c r="W9" i="3"/>
  <c r="Y8" i="3"/>
  <c r="X8" i="3"/>
  <c r="Y11" i="3"/>
  <c r="X11" i="3"/>
  <c r="Y9" i="3"/>
  <c r="D7" i="3"/>
  <c r="C7" i="3"/>
  <c r="B7" i="3"/>
  <c r="D9" i="3"/>
  <c r="B9" i="3"/>
  <c r="C9" i="3"/>
  <c r="G7" i="3"/>
  <c r="E7" i="3"/>
  <c r="F7" i="3"/>
  <c r="F9" i="3"/>
  <c r="G9" i="3"/>
  <c r="E9" i="3"/>
  <c r="P7" i="3"/>
  <c r="N7" i="3"/>
  <c r="H7" i="3"/>
  <c r="O7" i="3"/>
  <c r="M7" i="3"/>
  <c r="O9" i="3"/>
  <c r="M9" i="3"/>
  <c r="P9" i="3"/>
  <c r="N9" i="3"/>
  <c r="H9" i="3"/>
  <c r="J7" i="3"/>
  <c r="K7" i="3"/>
  <c r="L7" i="3"/>
  <c r="K9" i="3"/>
  <c r="L9" i="3"/>
  <c r="J9" i="3"/>
  <c r="I10" i="3"/>
  <c r="B47" i="3"/>
  <c r="L47" i="3"/>
  <c r="O47" i="3"/>
  <c r="E47" i="3"/>
  <c r="H47" i="3"/>
  <c r="J47" i="3"/>
  <c r="G47" i="3"/>
  <c r="D47" i="3"/>
  <c r="P47" i="3"/>
  <c r="F47" i="3"/>
  <c r="K47" i="3"/>
  <c r="M47" i="3"/>
  <c r="C47" i="3"/>
  <c r="N47" i="3"/>
  <c r="G45" i="3"/>
  <c r="E45" i="3"/>
  <c r="J45" i="3"/>
  <c r="M45" i="3"/>
  <c r="O45" i="3"/>
  <c r="K45" i="3"/>
  <c r="N45" i="3"/>
  <c r="C45" i="3"/>
  <c r="H45" i="3"/>
  <c r="F45" i="3"/>
  <c r="D45" i="3"/>
  <c r="P45" i="3"/>
  <c r="L45" i="3"/>
  <c r="B45" i="3"/>
  <c r="W53" i="3"/>
  <c r="AD53" i="3"/>
  <c r="AF53" i="3"/>
  <c r="AC53" i="3"/>
  <c r="U53" i="3"/>
  <c r="Y53" i="3"/>
  <c r="AB53" i="3"/>
  <c r="X53" i="3"/>
  <c r="AE53" i="3"/>
  <c r="AG53" i="3"/>
  <c r="T53" i="3"/>
  <c r="V53" i="3"/>
  <c r="S53" i="3"/>
  <c r="AA53" i="3"/>
  <c r="Y55" i="3"/>
  <c r="AE55" i="3"/>
  <c r="X55" i="3"/>
  <c r="AG55" i="3"/>
  <c r="S55" i="3"/>
  <c r="AD55" i="3"/>
  <c r="AC55" i="3"/>
  <c r="U55" i="3"/>
  <c r="AA55" i="3"/>
  <c r="AF55" i="3"/>
  <c r="W55" i="3"/>
  <c r="V55" i="3"/>
  <c r="T55" i="3"/>
  <c r="AB55" i="3"/>
  <c r="J28" i="3"/>
  <c r="E28" i="3"/>
  <c r="D28" i="3"/>
  <c r="P28" i="3"/>
  <c r="L28" i="3"/>
  <c r="F28" i="3"/>
  <c r="H28" i="3"/>
  <c r="O28" i="3"/>
  <c r="C28" i="3"/>
  <c r="K28" i="3"/>
  <c r="G28" i="3"/>
  <c r="N28" i="3"/>
  <c r="M28" i="3"/>
  <c r="B28" i="3"/>
  <c r="M26" i="3"/>
  <c r="B26" i="3"/>
  <c r="D26" i="3"/>
  <c r="C26" i="3"/>
  <c r="P26" i="3"/>
  <c r="K26" i="3"/>
  <c r="G26" i="3"/>
  <c r="E26" i="3"/>
  <c r="N26" i="3"/>
  <c r="H26" i="3"/>
  <c r="J26" i="3"/>
  <c r="L26" i="3"/>
  <c r="O26" i="3"/>
  <c r="F26" i="3"/>
  <c r="X31" i="3"/>
  <c r="W31" i="3"/>
  <c r="AF31" i="3"/>
  <c r="AG31" i="3"/>
  <c r="V31" i="3"/>
  <c r="AD31" i="3"/>
  <c r="U31" i="3"/>
  <c r="AC31" i="3"/>
  <c r="Y31" i="3"/>
  <c r="T31" i="3"/>
  <c r="S31" i="3"/>
  <c r="AA31" i="3"/>
  <c r="AE31" i="3"/>
  <c r="AB31" i="3"/>
  <c r="Z34" i="3"/>
  <c r="Z35" i="3" s="1"/>
  <c r="W33" i="3"/>
  <c r="T33" i="3"/>
  <c r="Y33" i="3"/>
  <c r="U33" i="3"/>
  <c r="AG33" i="3"/>
  <c r="AC33" i="3"/>
  <c r="AD33" i="3"/>
  <c r="X33" i="3"/>
  <c r="AE33" i="3"/>
  <c r="AF33" i="3"/>
  <c r="AA33" i="3"/>
  <c r="AB33" i="3"/>
  <c r="S33" i="3"/>
  <c r="V33" i="3"/>
  <c r="Z30" i="3"/>
  <c r="Z52" i="3"/>
  <c r="Z56" i="3"/>
  <c r="I29" i="3"/>
  <c r="I48" i="3"/>
  <c r="I44" i="3"/>
  <c r="I25" i="3"/>
  <c r="I6" i="3"/>
  <c r="Z12" i="3"/>
  <c r="Z7" i="3"/>
  <c r="AF7" i="3" l="1"/>
  <c r="AB7" i="3"/>
  <c r="AG7" i="3"/>
  <c r="AE7" i="3"/>
  <c r="AC7" i="3"/>
  <c r="AA7" i="3"/>
  <c r="AD7" i="3"/>
  <c r="AF12" i="3"/>
  <c r="AD12" i="3"/>
  <c r="AB12" i="3"/>
  <c r="AC12" i="3"/>
  <c r="AA12" i="3"/>
  <c r="AG12" i="3"/>
  <c r="AE12" i="3"/>
  <c r="T7" i="3"/>
  <c r="U7" i="3"/>
  <c r="S7" i="3"/>
  <c r="U12" i="3"/>
  <c r="T12" i="3"/>
  <c r="S12" i="3"/>
  <c r="W12" i="3"/>
  <c r="V12" i="3"/>
  <c r="W7" i="3"/>
  <c r="V7" i="3"/>
  <c r="Y7" i="3"/>
  <c r="X7" i="3"/>
  <c r="Y12" i="3"/>
  <c r="X12" i="3"/>
  <c r="D6" i="3"/>
  <c r="C6" i="3"/>
  <c r="B6" i="3"/>
  <c r="D10" i="3"/>
  <c r="C10" i="3"/>
  <c r="B10" i="3"/>
  <c r="E10" i="3"/>
  <c r="G10" i="3"/>
  <c r="F10" i="3"/>
  <c r="E6" i="3"/>
  <c r="F6" i="3"/>
  <c r="G6" i="3"/>
  <c r="H6" i="3"/>
  <c r="O6" i="3"/>
  <c r="M6" i="3"/>
  <c r="P6" i="3"/>
  <c r="N6" i="3"/>
  <c r="H10" i="3"/>
  <c r="O10" i="3"/>
  <c r="M10" i="3"/>
  <c r="P10" i="3"/>
  <c r="N10" i="3"/>
  <c r="J10" i="3"/>
  <c r="K10" i="3"/>
  <c r="L10" i="3"/>
  <c r="J6" i="3"/>
  <c r="K6" i="3"/>
  <c r="L6" i="3"/>
  <c r="I11" i="3"/>
  <c r="G44" i="3"/>
  <c r="O44" i="3"/>
  <c r="J44" i="3"/>
  <c r="B44" i="3"/>
  <c r="L44" i="3"/>
  <c r="M44" i="3"/>
  <c r="D44" i="3"/>
  <c r="K44" i="3"/>
  <c r="F44" i="3"/>
  <c r="E44" i="3"/>
  <c r="N44" i="3"/>
  <c r="P44" i="3"/>
  <c r="H44" i="3"/>
  <c r="C44" i="3"/>
  <c r="J48" i="3"/>
  <c r="G48" i="3"/>
  <c r="D48" i="3"/>
  <c r="B48" i="3"/>
  <c r="F48" i="3"/>
  <c r="K48" i="3"/>
  <c r="N48" i="3"/>
  <c r="P48" i="3"/>
  <c r="L48" i="3"/>
  <c r="C48" i="3"/>
  <c r="H48" i="3"/>
  <c r="E48" i="3"/>
  <c r="M48" i="3"/>
  <c r="O48" i="3"/>
  <c r="Y56" i="3"/>
  <c r="AB56" i="3"/>
  <c r="X56" i="3"/>
  <c r="T56" i="3"/>
  <c r="AE56" i="3"/>
  <c r="V56" i="3"/>
  <c r="S56" i="3"/>
  <c r="U56" i="3"/>
  <c r="AF56" i="3"/>
  <c r="W56" i="3"/>
  <c r="AD56" i="3"/>
  <c r="AA56" i="3"/>
  <c r="AG56" i="3"/>
  <c r="AC56" i="3"/>
  <c r="AE52" i="3"/>
  <c r="AG52" i="3"/>
  <c r="V52" i="3"/>
  <c r="W52" i="3"/>
  <c r="X52" i="3"/>
  <c r="AA52" i="3"/>
  <c r="U52" i="3"/>
  <c r="S52" i="3"/>
  <c r="Y52" i="3"/>
  <c r="T52" i="3"/>
  <c r="AF52" i="3"/>
  <c r="AD52" i="3"/>
  <c r="AB52" i="3"/>
  <c r="AC52" i="3"/>
  <c r="D25" i="3"/>
  <c r="O25" i="3"/>
  <c r="N25" i="3"/>
  <c r="L25" i="3"/>
  <c r="C25" i="3"/>
  <c r="B25" i="3"/>
  <c r="M25" i="3"/>
  <c r="F25" i="3"/>
  <c r="H25" i="3"/>
  <c r="P25" i="3"/>
  <c r="J25" i="3"/>
  <c r="G25" i="3"/>
  <c r="E25" i="3"/>
  <c r="K25" i="3"/>
  <c r="P29" i="3"/>
  <c r="L29" i="3"/>
  <c r="B29" i="3"/>
  <c r="H29" i="3"/>
  <c r="N29" i="3"/>
  <c r="K29" i="3"/>
  <c r="D29" i="3"/>
  <c r="C29" i="3"/>
  <c r="J29" i="3"/>
  <c r="M29" i="3"/>
  <c r="E29" i="3"/>
  <c r="O29" i="3"/>
  <c r="F29" i="3"/>
  <c r="G29" i="3"/>
  <c r="U34" i="3"/>
  <c r="T34" i="3"/>
  <c r="S34" i="3"/>
  <c r="AA34" i="3"/>
  <c r="AG34" i="3"/>
  <c r="AC34" i="3"/>
  <c r="AD34" i="3"/>
  <c r="AB34" i="3"/>
  <c r="W34" i="3"/>
  <c r="AE34" i="3"/>
  <c r="X34" i="3"/>
  <c r="Y34" i="3"/>
  <c r="V34" i="3"/>
  <c r="AF34" i="3"/>
  <c r="AA30" i="3"/>
  <c r="AE30" i="3"/>
  <c r="S30" i="3"/>
  <c r="AD30" i="3"/>
  <c r="X30" i="3"/>
  <c r="U30" i="3"/>
  <c r="T30" i="3"/>
  <c r="AB30" i="3"/>
  <c r="V30" i="3"/>
  <c r="AF30" i="3"/>
  <c r="Y30" i="3"/>
  <c r="AC30" i="3"/>
  <c r="AG30" i="3"/>
  <c r="W30" i="3"/>
  <c r="S35" i="3"/>
  <c r="AD35" i="3"/>
  <c r="AA35" i="3"/>
  <c r="AE35" i="3"/>
  <c r="W35" i="3"/>
  <c r="AB35" i="3"/>
  <c r="T35" i="3"/>
  <c r="Y35" i="3"/>
  <c r="AG35" i="3"/>
  <c r="AF35" i="3"/>
  <c r="V35" i="3"/>
  <c r="U35" i="3"/>
  <c r="AC35" i="3"/>
  <c r="X35" i="3"/>
  <c r="Z29" i="3"/>
  <c r="Z57" i="3"/>
  <c r="Z51" i="3"/>
  <c r="Z36" i="3"/>
  <c r="I30" i="3"/>
  <c r="I49" i="3"/>
  <c r="I43" i="3"/>
  <c r="I24" i="3"/>
  <c r="Z13" i="3"/>
  <c r="Z6" i="3"/>
  <c r="I5" i="3"/>
  <c r="AE13" i="3" l="1"/>
  <c r="AC13" i="3"/>
  <c r="AA13" i="3"/>
  <c r="AF13" i="3"/>
  <c r="AD13" i="3"/>
  <c r="AB13" i="3"/>
  <c r="AG13" i="3"/>
  <c r="AG6" i="3"/>
  <c r="AE6" i="3"/>
  <c r="AC6" i="3"/>
  <c r="AA6" i="3"/>
  <c r="AB6" i="3"/>
  <c r="AF6" i="3"/>
  <c r="AD6" i="3"/>
  <c r="S13" i="3"/>
  <c r="U13" i="3"/>
  <c r="T13" i="3"/>
  <c r="S6" i="3"/>
  <c r="T6" i="3"/>
  <c r="U6" i="3"/>
  <c r="W6" i="3"/>
  <c r="V6" i="3"/>
  <c r="V13" i="3"/>
  <c r="W13" i="3"/>
  <c r="Y13" i="3"/>
  <c r="X13" i="3"/>
  <c r="Y6" i="3"/>
  <c r="X6" i="3"/>
  <c r="D11" i="3"/>
  <c r="C11" i="3"/>
  <c r="B11" i="3"/>
  <c r="D5" i="3"/>
  <c r="C5" i="3"/>
  <c r="B5" i="3"/>
  <c r="G11" i="3"/>
  <c r="F11" i="3"/>
  <c r="E11" i="3"/>
  <c r="G5" i="3"/>
  <c r="E5" i="3"/>
  <c r="F5" i="3"/>
  <c r="H5" i="3"/>
  <c r="P5" i="3"/>
  <c r="P11" i="3"/>
  <c r="N11" i="3"/>
  <c r="H11" i="3"/>
  <c r="O11" i="3"/>
  <c r="M11" i="3"/>
  <c r="O5" i="3"/>
  <c r="N5" i="3"/>
  <c r="M5" i="3"/>
  <c r="J11" i="3"/>
  <c r="K11" i="3"/>
  <c r="L11" i="3"/>
  <c r="K5" i="3"/>
  <c r="L5" i="3"/>
  <c r="J5" i="3"/>
  <c r="O24" i="3"/>
  <c r="N24" i="3"/>
  <c r="M24" i="3"/>
  <c r="L24" i="3"/>
  <c r="M30" i="3"/>
  <c r="H30" i="3"/>
  <c r="J30" i="3"/>
  <c r="L30" i="3"/>
  <c r="E30" i="3"/>
  <c r="O30" i="3"/>
  <c r="K30" i="3"/>
  <c r="D30" i="3"/>
  <c r="N30" i="3"/>
  <c r="K24" i="3"/>
  <c r="J24" i="3"/>
  <c r="C30" i="3"/>
  <c r="B30" i="3"/>
  <c r="P24" i="3"/>
  <c r="D24" i="3"/>
  <c r="H24" i="3"/>
  <c r="E24" i="3"/>
  <c r="B24" i="3"/>
  <c r="F24" i="3"/>
  <c r="C24" i="3"/>
  <c r="G24" i="3"/>
  <c r="D49" i="3"/>
  <c r="J49" i="3"/>
  <c r="F49" i="3"/>
  <c r="G49" i="3"/>
  <c r="M49" i="3"/>
  <c r="P49" i="3"/>
  <c r="K49" i="3"/>
  <c r="E49" i="3"/>
  <c r="N49" i="3"/>
  <c r="L49" i="3"/>
  <c r="C49" i="3"/>
  <c r="H49" i="3"/>
  <c r="O49" i="3"/>
  <c r="B49" i="3"/>
  <c r="D43" i="3"/>
  <c r="J43" i="3"/>
  <c r="N43" i="3"/>
  <c r="F43" i="3"/>
  <c r="P43" i="3"/>
  <c r="L43" i="3"/>
  <c r="K43" i="3"/>
  <c r="O43" i="3"/>
  <c r="M43" i="3"/>
  <c r="E43" i="3"/>
  <c r="C43" i="3"/>
  <c r="G43" i="3"/>
  <c r="H43" i="3"/>
  <c r="B43" i="3"/>
  <c r="AA57" i="3"/>
  <c r="U57" i="3"/>
  <c r="AG57" i="3"/>
  <c r="AD57" i="3"/>
  <c r="AB57" i="3"/>
  <c r="V57" i="3"/>
  <c r="W57" i="3"/>
  <c r="AF57" i="3"/>
  <c r="AC57" i="3"/>
  <c r="S57" i="3"/>
  <c r="T57" i="3"/>
  <c r="X57" i="3"/>
  <c r="Y57" i="3"/>
  <c r="AE57" i="3"/>
  <c r="AB51" i="3"/>
  <c r="X51" i="3"/>
  <c r="Y51" i="3"/>
  <c r="AE51" i="3"/>
  <c r="AG51" i="3"/>
  <c r="V51" i="3"/>
  <c r="W51" i="3"/>
  <c r="AC51" i="3"/>
  <c r="AF51" i="3"/>
  <c r="AA51" i="3"/>
  <c r="U51" i="3"/>
  <c r="T51" i="3"/>
  <c r="S51" i="3"/>
  <c r="AD51" i="3"/>
  <c r="F30" i="3"/>
  <c r="P30" i="3"/>
  <c r="G30" i="3"/>
  <c r="AF29" i="3"/>
  <c r="AD29" i="3"/>
  <c r="AC29" i="3"/>
  <c r="X29" i="3"/>
  <c r="AE29" i="3"/>
  <c r="W29" i="3"/>
  <c r="U29" i="3"/>
  <c r="Y29" i="3"/>
  <c r="S29" i="3"/>
  <c r="AA29" i="3"/>
  <c r="T29" i="3"/>
  <c r="AB29" i="3"/>
  <c r="AG29" i="3"/>
  <c r="V29" i="3"/>
  <c r="Y36" i="3"/>
  <c r="T36" i="3"/>
  <c r="AD36" i="3"/>
  <c r="W36" i="3"/>
  <c r="AF36" i="3"/>
  <c r="U36" i="3"/>
  <c r="X36" i="3"/>
  <c r="AB36" i="3"/>
  <c r="S36" i="3"/>
  <c r="AG36" i="3"/>
  <c r="AC36" i="3"/>
  <c r="V36" i="3"/>
  <c r="AE36" i="3"/>
  <c r="AA36" i="3"/>
  <c r="Z28" i="3"/>
  <c r="Z50" i="3"/>
  <c r="Z58" i="3"/>
  <c r="Z37" i="3"/>
  <c r="Z5" i="3"/>
  <c r="AG5" i="3" s="1"/>
  <c r="Z14" i="3"/>
  <c r="AG14" i="3" l="1"/>
  <c r="AE14" i="3"/>
  <c r="AC14" i="3"/>
  <c r="AA14" i="3"/>
  <c r="AB14" i="3"/>
  <c r="AF14" i="3"/>
  <c r="AD14" i="3"/>
  <c r="AF5" i="3"/>
  <c r="AE5" i="3"/>
  <c r="AD5" i="3"/>
  <c r="AC5" i="3"/>
  <c r="AB5" i="3"/>
  <c r="AA5" i="3"/>
  <c r="S14" i="3"/>
  <c r="T14" i="3"/>
  <c r="U14" i="3"/>
  <c r="V5" i="3"/>
  <c r="U5" i="3"/>
  <c r="T5" i="3"/>
  <c r="S5" i="3"/>
  <c r="V14" i="3"/>
  <c r="W14" i="3"/>
  <c r="Y14" i="3"/>
  <c r="X14" i="3"/>
  <c r="X5" i="3"/>
  <c r="W5" i="3"/>
  <c r="Y5" i="3"/>
  <c r="E15" i="3"/>
  <c r="F15" i="3" s="1"/>
  <c r="N14" i="3"/>
  <c r="O14" i="3" s="1"/>
  <c r="N15" i="3"/>
  <c r="O15" i="3" s="1"/>
  <c r="N16" i="3"/>
  <c r="O16" i="3" s="1"/>
  <c r="N35" i="3"/>
  <c r="O35" i="3" s="1"/>
  <c r="E14" i="3"/>
  <c r="F14" i="3" s="1"/>
  <c r="AG58" i="3"/>
  <c r="AA58" i="3"/>
  <c r="AF58" i="3"/>
  <c r="U58" i="3"/>
  <c r="AC58" i="3"/>
  <c r="W58" i="3"/>
  <c r="S58" i="3"/>
  <c r="V58" i="3"/>
  <c r="T58" i="3"/>
  <c r="AB58" i="3"/>
  <c r="X58" i="3"/>
  <c r="Y58" i="3"/>
  <c r="AD58" i="3"/>
  <c r="AE58" i="3"/>
  <c r="X50" i="3"/>
  <c r="V50" i="3"/>
  <c r="AC50" i="3"/>
  <c r="AD50" i="3"/>
  <c r="U50" i="3"/>
  <c r="AA50" i="3"/>
  <c r="AB50" i="3"/>
  <c r="W50" i="3"/>
  <c r="AF50" i="3"/>
  <c r="AE50" i="3"/>
  <c r="AG50" i="3"/>
  <c r="T50" i="3"/>
  <c r="S50" i="3"/>
  <c r="Y50" i="3"/>
  <c r="S37" i="3"/>
  <c r="AB37" i="3"/>
  <c r="T37" i="3"/>
  <c r="AD37" i="3"/>
  <c r="AF37" i="3"/>
  <c r="Y37" i="3"/>
  <c r="AG37" i="3"/>
  <c r="X37" i="3"/>
  <c r="AE37" i="3"/>
  <c r="V37" i="3"/>
  <c r="U37" i="3"/>
  <c r="AC37" i="3"/>
  <c r="W37" i="3"/>
  <c r="AA37" i="3"/>
  <c r="S28" i="3"/>
  <c r="T28" i="3"/>
  <c r="X28" i="3"/>
  <c r="AG28" i="3"/>
  <c r="U28" i="3"/>
  <c r="V28" i="3"/>
  <c r="AB28" i="3"/>
  <c r="AA28" i="3"/>
  <c r="AC28" i="3"/>
  <c r="AD28" i="3"/>
  <c r="AE28" i="3"/>
  <c r="W28" i="3"/>
  <c r="Y28" i="3"/>
  <c r="AF28" i="3"/>
  <c r="Z27" i="3"/>
  <c r="Z59" i="3"/>
  <c r="Z49" i="3"/>
  <c r="N33" i="3"/>
  <c r="O33" i="3" s="1"/>
  <c r="E35" i="3"/>
  <c r="F35" i="3" s="1"/>
  <c r="E34" i="3"/>
  <c r="F34" i="3" s="1"/>
  <c r="N34" i="3"/>
  <c r="O34" i="3" s="1"/>
  <c r="E33" i="3"/>
  <c r="F33" i="3" s="1"/>
  <c r="N53" i="3"/>
  <c r="O53" i="3" s="1"/>
  <c r="E53" i="3"/>
  <c r="F53" i="3" s="1"/>
  <c r="E52" i="3"/>
  <c r="F52" i="3" s="1"/>
  <c r="N52" i="3"/>
  <c r="O52" i="3" s="1"/>
  <c r="N54" i="3"/>
  <c r="O54" i="3" s="1"/>
  <c r="E54" i="3"/>
  <c r="F54" i="3" s="1"/>
  <c r="E16" i="3"/>
  <c r="F16" i="3" s="1"/>
  <c r="Z15" i="3"/>
  <c r="AD15" i="3" l="1"/>
  <c r="AE18" i="3" s="1"/>
  <c r="AF18" i="3" s="1"/>
  <c r="AB15" i="3"/>
  <c r="AG15" i="3"/>
  <c r="AE20" i="3" s="1"/>
  <c r="AF20" i="3" s="1"/>
  <c r="AE15" i="3"/>
  <c r="AC15" i="3"/>
  <c r="AA15" i="3"/>
  <c r="AF15" i="3"/>
  <c r="AE19" i="3" s="1"/>
  <c r="AF19" i="3" s="1"/>
  <c r="T15" i="3"/>
  <c r="V19" i="3" s="1"/>
  <c r="W19" i="3" s="1"/>
  <c r="U15" i="3"/>
  <c r="S15" i="3"/>
  <c r="V20" i="3" s="1"/>
  <c r="W20" i="3" s="1"/>
  <c r="W15" i="3"/>
  <c r="V15" i="3"/>
  <c r="V18" i="3" s="1"/>
  <c r="W18" i="3" s="1"/>
  <c r="Y15" i="3"/>
  <c r="X15" i="3"/>
  <c r="AE27" i="3"/>
  <c r="AG27" i="3"/>
  <c r="AE42" i="3" s="1"/>
  <c r="AF42" i="3" s="1"/>
  <c r="AF27" i="3"/>
  <c r="AE41" i="3" s="1"/>
  <c r="AF41" i="3" s="1"/>
  <c r="AC27" i="3"/>
  <c r="T27" i="3"/>
  <c r="V41" i="3" s="1"/>
  <c r="W41" i="3" s="1"/>
  <c r="V27" i="3"/>
  <c r="V40" i="3" s="1"/>
  <c r="W40" i="3" s="1"/>
  <c r="AD27" i="3"/>
  <c r="AE40" i="3" s="1"/>
  <c r="AF40" i="3" s="1"/>
  <c r="AB27" i="3"/>
  <c r="U27" i="3"/>
  <c r="AA27" i="3"/>
  <c r="S27" i="3"/>
  <c r="V42" i="3" s="1"/>
  <c r="W42" i="3" s="1"/>
  <c r="W27" i="3"/>
  <c r="X27" i="3"/>
  <c r="Y27" i="3"/>
  <c r="AB49" i="3"/>
  <c r="AF49" i="3"/>
  <c r="AC49" i="3"/>
  <c r="AE49" i="3"/>
  <c r="AA49" i="3"/>
  <c r="W49" i="3"/>
  <c r="U49" i="3"/>
  <c r="V49" i="3"/>
  <c r="AG49" i="3"/>
  <c r="AD49" i="3"/>
  <c r="T49" i="3"/>
  <c r="S49" i="3"/>
  <c r="X49" i="3"/>
  <c r="Y49" i="3"/>
  <c r="AB59" i="3"/>
  <c r="S59" i="3"/>
  <c r="V59" i="3"/>
  <c r="X59" i="3"/>
  <c r="T59" i="3"/>
  <c r="AA59" i="3"/>
  <c r="U59" i="3"/>
  <c r="AF59" i="3"/>
  <c r="AD59" i="3"/>
  <c r="W59" i="3"/>
  <c r="AC59" i="3"/>
  <c r="Y59" i="3"/>
  <c r="AE59" i="3"/>
  <c r="AG59" i="3"/>
  <c r="V64" i="3" l="1"/>
  <c r="W64" i="3" s="1"/>
  <c r="AE62" i="3"/>
  <c r="AF62" i="3" s="1"/>
  <c r="AE63" i="3"/>
  <c r="AF63" i="3" s="1"/>
  <c r="V63" i="3"/>
  <c r="W63" i="3" s="1"/>
  <c r="V62" i="3"/>
  <c r="W62" i="3" s="1"/>
  <c r="AE64" i="3"/>
  <c r="AF64" i="3" s="1"/>
</calcChain>
</file>

<file path=xl/connections.xml><?xml version="1.0" encoding="utf-8"?>
<connections xmlns="http://schemas.openxmlformats.org/spreadsheetml/2006/main">
  <connection id="1" keepAlive="1" interval="1" name="Query - BANKNIFTY Monthly Expiry" description="Connection to the 'BANKNIFTY Monthly Expiry' query in the workbook." type="5" refreshedVersion="6" background="1" refreshOnLoad="1" saveData="1">
    <dbPr connection="Provider=Microsoft.Mashup.OleDb.1;Data Source=$Workbook$;Location=BANKNIFTY Monthly Expiry;Extended Properties=&quot;&quot;" command="SELECT * FROM [BANKNIFTY Monthly Expiry]"/>
  </connection>
  <connection id="2" keepAlive="1" interval="1" name="Query - BANKNIFTY Near Expiry" description="Connection to the 'BANKNIFTY Near Expiry' query in the workbook." type="5" refreshedVersion="6" background="1" refreshOnLoad="1" saveData="1">
    <dbPr connection="Provider=Microsoft.Mashup.OleDb.1;Data Source=$Workbook$;Location=BANKNIFTY Near Expiry;Extended Properties=&quot;&quot;" command="SELECT * FROM [BANKNIFTY Near Expiry]"/>
  </connection>
  <connection id="3" keepAlive="1" interval="1" name="Query - BANKNIFTY Next Expiry" description="Connection to the 'BANKNIFTY Next Expiry' query in the workbook." type="5" refreshedVersion="6" background="1" refreshOnLoad="1" saveData="1">
    <dbPr connection="Provider=Microsoft.Mashup.OleDb.1;Data Source=$Workbook$;Location=BANKNIFTY Next Expiry;Extended Properties=&quot;&quot;" command="SELECT * FROM [BANKNIFTY Next Expiry]"/>
  </connection>
  <connection id="4" keepAlive="1" interval="1" name="Query - NIFTY Monthly Expiry" description="Connection to the 'NIFTY Monthly Expiry' query in the workbook." type="5" refreshedVersion="6" background="1" refreshOnLoad="1" saveData="1">
    <dbPr connection="Provider=Microsoft.Mashup.OleDb.1;Data Source=$Workbook$;Location=NIFTY Monthly Expiry;Extended Properties=&quot;&quot;" command="SELECT * FROM [NIFTY Monthly Expiry]"/>
  </connection>
  <connection id="5" keepAlive="1" interval="1" name="Query - NIFTY Near Expiry" description="Connection to the 'NIFTY Near Expiry' query in the workbook." type="5" refreshedVersion="6" background="1" refreshOnLoad="1" saveData="1">
    <dbPr connection="Provider=Microsoft.Mashup.OleDb.1;Data Source=$Workbook$;Location=NIFTY Near Expiry;Extended Properties=&quot;&quot;" command="SELECT * FROM [NIFTY Near Expiry]"/>
  </connection>
  <connection id="6" keepAlive="1" interval="1" name="Query - NIFTY Next Expiry" description="Connection to the 'NIFTY Next Expiry' query in the workbook." type="5" refreshedVersion="6" background="1" refreshOnLoad="1" saveData="1">
    <dbPr connection="Provider=Microsoft.Mashup.OleDb.1;Data Source=$Workbook$;Location=NIFTY Next Expiry;Extended Properties=&quot;&quot;" command="SELECT * FROM [NIFTY Next Expiry]"/>
  </connection>
</connections>
</file>

<file path=xl/sharedStrings.xml><?xml version="1.0" encoding="utf-8"?>
<sst xmlns="http://schemas.openxmlformats.org/spreadsheetml/2006/main" count="2996" uniqueCount="51">
  <si>
    <t>strikePrice</t>
  </si>
  <si>
    <t>expiryDate</t>
  </si>
  <si>
    <t>Call.strikePrice</t>
  </si>
  <si>
    <t>Call.expiryDate</t>
  </si>
  <si>
    <t>Call.underlying</t>
  </si>
  <si>
    <t>Call.openInterest</t>
  </si>
  <si>
    <t>Call.changeinOpenInterest</t>
  </si>
  <si>
    <t>Call.totalTradedVolume</t>
  </si>
  <si>
    <t>Call.impliedVolatility</t>
  </si>
  <si>
    <t>Call.lastPrice</t>
  </si>
  <si>
    <t>Call.change</t>
  </si>
  <si>
    <t>Call.pChange</t>
  </si>
  <si>
    <t>Call.underlyingValue</t>
  </si>
  <si>
    <t>Put.strikePrice</t>
  </si>
  <si>
    <t>Put.expiryDate</t>
  </si>
  <si>
    <t>Put.underlying</t>
  </si>
  <si>
    <t>Put.openInterest</t>
  </si>
  <si>
    <t>Put.changeinOpenInterest</t>
  </si>
  <si>
    <t>Put.totalTradedVolume</t>
  </si>
  <si>
    <t>Put.impliedVolatility</t>
  </si>
  <si>
    <t>Put.lastPrice</t>
  </si>
  <si>
    <t>Put.change</t>
  </si>
  <si>
    <t>Put.pChange</t>
  </si>
  <si>
    <t>Put.underlyingValue</t>
  </si>
  <si>
    <t>NIFTY</t>
  </si>
  <si>
    <t>BANKNIFTY</t>
  </si>
  <si>
    <t>VOL</t>
  </si>
  <si>
    <t>COI</t>
  </si>
  <si>
    <t>OI</t>
  </si>
  <si>
    <t>LTP</t>
  </si>
  <si>
    <t>Strike Price</t>
  </si>
  <si>
    <t>Bank Nifty</t>
  </si>
  <si>
    <t>Spot Price</t>
  </si>
  <si>
    <t>Nifty</t>
  </si>
  <si>
    <t>Call</t>
  </si>
  <si>
    <t>Put</t>
  </si>
  <si>
    <t>Highest Open Interest</t>
  </si>
  <si>
    <t>Highest Change in OI</t>
  </si>
  <si>
    <t>%COI</t>
  </si>
  <si>
    <t>Call.pchangeinOpenInterest</t>
  </si>
  <si>
    <t>Put.pchangeinOpenInterest</t>
  </si>
  <si>
    <t>Highest Change in %COI</t>
  </si>
  <si>
    <t>Expiry</t>
  </si>
  <si>
    <t>Price change</t>
  </si>
  <si>
    <t>% PChange</t>
  </si>
  <si>
    <t>Near</t>
  </si>
  <si>
    <t>Next</t>
  </si>
  <si>
    <t>Monthly</t>
  </si>
  <si>
    <t>06-Jul-2023</t>
  </si>
  <si>
    <t>27-Jul-2023</t>
  </si>
  <si>
    <t>29-Jun-2023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</si>
</sst>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0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10" xfId="0" applyBorder="1"/>
    <xf numFmtId="0" fontId="0" fillId="0" borderId="16" xfId="0" applyBorder="1"/>
    <xf numFmtId="0" fontId="2" fillId="0" borderId="1" xfId="0" applyFont="1" applyBorder="1"/>
    <xf numFmtId="2" fontId="2" fillId="0" borderId="8" xfId="0" applyNumberFormat="1" applyFont="1" applyBorder="1"/>
    <xf numFmtId="164" fontId="2" fillId="0" borderId="8" xfId="0" applyNumberFormat="1" applyFont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19" xfId="0" applyBorder="1"/>
    <xf numFmtId="0" fontId="2" fillId="0" borderId="8" xfId="0" applyFont="1" applyBorder="1"/>
    <xf numFmtId="0" fontId="2" fillId="2" borderId="1" xfId="1" applyFont="1" applyBorder="1"/>
    <xf numFmtId="0" fontId="4" fillId="0" borderId="8" xfId="0" applyFont="1" applyBorder="1"/>
    <xf numFmtId="0" fontId="2" fillId="0" borderId="1" xfId="0" applyFont="1" applyBorder="1" applyAlignment="1">
      <alignment horizontal="right"/>
    </xf>
    <xf numFmtId="0" fontId="0" fillId="0" borderId="28" xfId="0" applyBorder="1"/>
    <xf numFmtId="0" fontId="0" fillId="0" borderId="29" xfId="0" applyBorder="1"/>
    <xf numFmtId="0" fontId="0" fillId="0" borderId="27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2" fillId="0" borderId="7" xfId="0" applyFont="1" applyBorder="1"/>
    <xf numFmtId="0" fontId="2" fillId="0" borderId="6" xfId="0" applyFont="1" applyBorder="1"/>
    <xf numFmtId="0" fontId="0" fillId="0" borderId="35" xfId="0" applyBorder="1"/>
    <xf numFmtId="0" fontId="0" fillId="0" borderId="36" xfId="0" applyBorder="1"/>
    <xf numFmtId="2" fontId="0" fillId="0" borderId="17" xfId="0" applyNumberFormat="1" applyBorder="1"/>
    <xf numFmtId="2" fontId="0" fillId="0" borderId="15" xfId="0" applyNumberFormat="1" applyBorder="1"/>
    <xf numFmtId="0" fontId="2" fillId="0" borderId="10" xfId="0" applyFont="1" applyBorder="1"/>
    <xf numFmtId="0" fontId="2" fillId="0" borderId="18" xfId="0" applyFont="1" applyBorder="1"/>
    <xf numFmtId="0" fontId="2" fillId="0" borderId="16" xfId="0" applyFont="1" applyBorder="1"/>
    <xf numFmtId="0" fontId="2" fillId="0" borderId="13" xfId="0" applyFont="1" applyBorder="1"/>
    <xf numFmtId="2" fontId="0" fillId="0" borderId="19" xfId="0" applyNumberFormat="1" applyBorder="1"/>
    <xf numFmtId="2" fontId="0" fillId="0" borderId="39" xfId="0" applyNumberFormat="1" applyBorder="1"/>
    <xf numFmtId="0" fontId="0" fillId="0" borderId="39" xfId="0" applyBorder="1"/>
    <xf numFmtId="2" fontId="0" fillId="0" borderId="16" xfId="0" applyNumberFormat="1" applyBorder="1"/>
    <xf numFmtId="2" fontId="0" fillId="0" borderId="8" xfId="0" applyNumberFormat="1" applyBorder="1"/>
    <xf numFmtId="2" fontId="0" fillId="0" borderId="13" xfId="0" applyNumberFormat="1" applyBorder="1"/>
    <xf numFmtId="0" fontId="0" fillId="0" borderId="13" xfId="0" applyBorder="1"/>
    <xf numFmtId="0" fontId="0" fillId="0" borderId="40" xfId="0" applyBorder="1"/>
    <xf numFmtId="0" fontId="2" fillId="0" borderId="39" xfId="0" applyFont="1" applyBorder="1"/>
    <xf numFmtId="2" fontId="0" fillId="0" borderId="41" xfId="0" applyNumberFormat="1" applyBorder="1"/>
    <xf numFmtId="2" fontId="0" fillId="0" borderId="42" xfId="0" applyNumberFormat="1" applyBorder="1"/>
    <xf numFmtId="2" fontId="0" fillId="0" borderId="22" xfId="0" applyNumberFormat="1" applyBorder="1"/>
    <xf numFmtId="2" fontId="0" fillId="0" borderId="43" xfId="0" applyNumberFormat="1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2" fontId="0" fillId="0" borderId="47" xfId="0" applyNumberFormat="1" applyBorder="1"/>
    <xf numFmtId="2" fontId="0" fillId="0" borderId="48" xfId="0" applyNumberFormat="1" applyBorder="1"/>
    <xf numFmtId="0" fontId="2" fillId="0" borderId="49" xfId="0" applyFont="1" applyBorder="1"/>
    <xf numFmtId="0" fontId="2" fillId="0" borderId="50" xfId="0" applyFont="1" applyBorder="1"/>
    <xf numFmtId="0" fontId="2" fillId="0" borderId="51" xfId="0" applyFont="1" applyBorder="1"/>
    <xf numFmtId="2" fontId="0" fillId="0" borderId="9" xfId="0" applyNumberFormat="1" applyBorder="1"/>
    <xf numFmtId="2" fontId="0" fillId="0" borderId="12" xfId="0" applyNumberFormat="1" applyBorder="1"/>
    <xf numFmtId="0" fontId="0" fillId="0" borderId="20" xfId="0" applyBorder="1"/>
    <xf numFmtId="0" fontId="0" fillId="0" borderId="52" xfId="0" applyBorder="1"/>
    <xf numFmtId="2" fontId="0" fillId="0" borderId="14" xfId="0" applyNumberFormat="1" applyBorder="1"/>
    <xf numFmtId="0" fontId="0" fillId="0" borderId="3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2">
    <cellStyle name="60% - Accent5" xfId="1" builtinId="48"/>
    <cellStyle name="Normal" xfId="0" builtinId="0"/>
  </cellStyles>
  <dxfs count="60"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3" refreshOnLoad="1" connectionId="6" autoFormatId="16" applyNumberFormats="0" applyBorderFormats="0" applyFontFormats="0" applyPatternFormats="0" applyAlignmentFormats="0" applyWidthHeightFormats="0">
  <queryTableRefresh nextId="27">
    <queryTableFields count="26">
      <queryTableField id="1" name="strikePrice" tableColumnId="1"/>
      <queryTableField id="2" name="expiryDate" tableColumnId="2"/>
      <queryTableField id="3" name="Put.strikePrice" tableColumnId="3"/>
      <queryTableField id="4" name="Put.expiryDate" tableColumnId="4"/>
      <queryTableField id="5" name="Put.underlying" tableColumnId="5"/>
      <queryTableField id="6" name="Put.openInterest" tableColumnId="6"/>
      <queryTableField id="7" name="Put.changeinOpenInterest" tableColumnId="7"/>
      <queryTableField id="8" name="Put.pchangeinOpenInterest" tableColumnId="8"/>
      <queryTableField id="9" name="Put.totalTradedVolume" tableColumnId="9"/>
      <queryTableField id="10" name="Put.impliedVolatility" tableColumnId="10"/>
      <queryTableField id="11" name="Put.lastPrice" tableColumnId="11"/>
      <queryTableField id="12" name="Put.change" tableColumnId="12"/>
      <queryTableField id="13" name="Put.pChange" tableColumnId="13"/>
      <queryTableField id="14" name="Put.underlyingValue" tableColumnId="14"/>
      <queryTableField id="15" name="Call.strikePrice" tableColumnId="15"/>
      <queryTableField id="16" name="Call.expiryDate" tableColumnId="16"/>
      <queryTableField id="17" name="Call.underlying" tableColumnId="17"/>
      <queryTableField id="18" name="Call.openInterest" tableColumnId="18"/>
      <queryTableField id="19" name="Call.changeinOpenInterest" tableColumnId="19"/>
      <queryTableField id="20" name="Call.pchangeinOpenInterest" tableColumnId="20"/>
      <queryTableField id="21" name="Call.totalTradedVolume" tableColumnId="21"/>
      <queryTableField id="22" name="Call.impliedVolatility" tableColumnId="22"/>
      <queryTableField id="23" name="Call.lastPrice" tableColumnId="23"/>
      <queryTableField id="24" name="Call.change" tableColumnId="24"/>
      <queryTableField id="25" name="Call.pChange" tableColumnId="25"/>
      <queryTableField id="26" name="Call.underlyingValue" tableColumnId="26"/>
    </queryTableFields>
  </queryTableRefresh>
</queryTable>
</file>

<file path=xl/queryTables/queryTable2.xml><?xml version="1.0" encoding="utf-8"?>
<queryTable xmlns="http://schemas.openxmlformats.org/spreadsheetml/2006/main" name="ExternalData_3" refreshOnLoad="1" connectionId="4" autoFormatId="16" applyNumberFormats="0" applyBorderFormats="0" applyFontFormats="0" applyPatternFormats="0" applyAlignmentFormats="0" applyWidthHeightFormats="0">
  <queryTableRefresh nextId="27">
    <queryTableFields count="26">
      <queryTableField id="1" name="strikePrice" tableColumnId="1"/>
      <queryTableField id="2" name="expiryDate" tableColumnId="2"/>
      <queryTableField id="3" name="Put.strikePrice" tableColumnId="3"/>
      <queryTableField id="4" name="Put.expiryDate" tableColumnId="4"/>
      <queryTableField id="5" name="Put.underlying" tableColumnId="5"/>
      <queryTableField id="6" name="Put.openInterest" tableColumnId="6"/>
      <queryTableField id="7" name="Put.changeinOpenInterest" tableColumnId="7"/>
      <queryTableField id="8" name="Put.pchangeinOpenInterest" tableColumnId="8"/>
      <queryTableField id="9" name="Put.totalTradedVolume" tableColumnId="9"/>
      <queryTableField id="10" name="Put.impliedVolatility" tableColumnId="10"/>
      <queryTableField id="11" name="Put.lastPrice" tableColumnId="11"/>
      <queryTableField id="12" name="Put.change" tableColumnId="12"/>
      <queryTableField id="13" name="Put.pChange" tableColumnId="13"/>
      <queryTableField id="14" name="Put.underlyingValue" tableColumnId="14"/>
      <queryTableField id="15" name="Call.strikePrice" tableColumnId="15"/>
      <queryTableField id="16" name="Call.expiryDate" tableColumnId="16"/>
      <queryTableField id="17" name="Call.underlying" tableColumnId="17"/>
      <queryTableField id="18" name="Call.openInterest" tableColumnId="18"/>
      <queryTableField id="19" name="Call.changeinOpenInterest" tableColumnId="19"/>
      <queryTableField id="20" name="Call.pchangeinOpenInterest" tableColumnId="20"/>
      <queryTableField id="21" name="Call.totalTradedVolume" tableColumnId="21"/>
      <queryTableField id="22" name="Call.impliedVolatility" tableColumnId="22"/>
      <queryTableField id="23" name="Call.lastPrice" tableColumnId="23"/>
      <queryTableField id="24" name="Call.change" tableColumnId="24"/>
      <queryTableField id="25" name="Call.pChange" tableColumnId="25"/>
      <queryTableField id="26" name="Call.underlyingValue" tableColumnId="26"/>
    </queryTableFields>
  </queryTableRefresh>
</queryTable>
</file>

<file path=xl/queryTables/queryTable3.xml><?xml version="1.0" encoding="utf-8"?>
<queryTable xmlns="http://schemas.openxmlformats.org/spreadsheetml/2006/main" name="ExternalData_2" refreshOnLoad="1" connectionId="1" autoFormatId="16" applyNumberFormats="0" applyBorderFormats="0" applyFontFormats="0" applyPatternFormats="0" applyAlignmentFormats="0" applyWidthHeightFormats="0">
  <queryTableRefresh nextId="27">
    <queryTableFields count="26">
      <queryTableField id="1" name="strikePrice" tableColumnId="1"/>
      <queryTableField id="2" name="expiryDate" tableColumnId="2"/>
      <queryTableField id="3" name="Call.strikePrice" tableColumnId="3"/>
      <queryTableField id="4" name="Call.expiryDate" tableColumnId="4"/>
      <queryTableField id="5" name="Call.underlying" tableColumnId="5"/>
      <queryTableField id="6" name="Call.openInterest" tableColumnId="6"/>
      <queryTableField id="7" name="Call.changeinOpenInterest" tableColumnId="7"/>
      <queryTableField id="8" name="Call.pchangeinOpenInterest" tableColumnId="8"/>
      <queryTableField id="9" name="Call.totalTradedVolume" tableColumnId="9"/>
      <queryTableField id="10" name="Call.impliedVolatility" tableColumnId="10"/>
      <queryTableField id="11" name="Call.lastPrice" tableColumnId="11"/>
      <queryTableField id="12" name="Call.change" tableColumnId="12"/>
      <queryTableField id="13" name="Call.pChange" tableColumnId="13"/>
      <queryTableField id="14" name="Call.underlyingValue" tableColumnId="14"/>
      <queryTableField id="15" name="Put.strikePrice" tableColumnId="15"/>
      <queryTableField id="16" name="Put.expiryDate" tableColumnId="16"/>
      <queryTableField id="17" name="Put.underlying" tableColumnId="17"/>
      <queryTableField id="18" name="Put.openInterest" tableColumnId="18"/>
      <queryTableField id="19" name="Put.changeinOpenInterest" tableColumnId="19"/>
      <queryTableField id="20" name="Put.pchangeinOpenInterest" tableColumnId="20"/>
      <queryTableField id="21" name="Put.totalTradedVolume" tableColumnId="21"/>
      <queryTableField id="22" name="Put.impliedVolatility" tableColumnId="22"/>
      <queryTableField id="23" name="Put.lastPrice" tableColumnId="23"/>
      <queryTableField id="24" name="Put.change" tableColumnId="24"/>
      <queryTableField id="25" name="Put.pChange" tableColumnId="25"/>
      <queryTableField id="26" name="Put.underlyingValue" tableColumnId="26"/>
    </queryTableFields>
  </queryTableRefresh>
</queryTable>
</file>

<file path=xl/queryTables/queryTable4.xml><?xml version="1.0" encoding="utf-8"?>
<queryTable xmlns="http://schemas.openxmlformats.org/spreadsheetml/2006/main" name="ExternalData_1" refreshOnLoad="1" connectionId="5" autoFormatId="16" applyNumberFormats="0" applyBorderFormats="0" applyFontFormats="0" applyPatternFormats="0" applyAlignmentFormats="0" applyWidthHeightFormats="0">
  <queryTableRefresh nextId="29">
    <queryTableFields count="26">
      <queryTableField id="1" name="strikePrice" tableColumnId="1"/>
      <queryTableField id="2" name="expiryDate" tableColumnId="2"/>
      <queryTableField id="3" name="Call.strikePrice" tableColumnId="3"/>
      <queryTableField id="4" name="Call.expiryDate" tableColumnId="4"/>
      <queryTableField id="5" name="Call.underlying" tableColumnId="5"/>
      <queryTableField id="6" name="Call.openInterest" tableColumnId="6"/>
      <queryTableField id="7" name="Call.changeinOpenInterest" tableColumnId="7"/>
      <queryTableField id="25" name="Call.pchangeinOpenInterest" tableColumnId="25"/>
      <queryTableField id="8" name="Call.totalTradedVolume" tableColumnId="8"/>
      <queryTableField id="9" name="Call.impliedVolatility" tableColumnId="9"/>
      <queryTableField id="10" name="Call.lastPrice" tableColumnId="10"/>
      <queryTableField id="11" name="Call.change" tableColumnId="11"/>
      <queryTableField id="12" name="Call.pChange" tableColumnId="12"/>
      <queryTableField id="13" name="Call.underlyingValue" tableColumnId="13"/>
      <queryTableField id="14" name="Put.strikePrice" tableColumnId="14"/>
      <queryTableField id="15" name="Put.expiryDate" tableColumnId="15"/>
      <queryTableField id="16" name="Put.underlying" tableColumnId="16"/>
      <queryTableField id="17" name="Put.openInterest" tableColumnId="17"/>
      <queryTableField id="18" name="Put.changeinOpenInterest" tableColumnId="18"/>
      <queryTableField id="26" name="Put.pchangeinOpenInterest" tableColumnId="26"/>
      <queryTableField id="19" name="Put.totalTradedVolume" tableColumnId="19"/>
      <queryTableField id="20" name="Put.impliedVolatility" tableColumnId="20"/>
      <queryTableField id="21" name="Put.lastPrice" tableColumnId="21"/>
      <queryTableField id="22" name="Put.change" tableColumnId="22"/>
      <queryTableField id="23" name="Put.pChange" tableColumnId="23"/>
      <queryTableField id="24" name="Put.underlyingValue" tableColumnId="24"/>
    </queryTableFields>
  </queryTableRefresh>
</queryTable>
</file>

<file path=xl/queryTables/queryTable5.xml><?xml version="1.0" encoding="utf-8"?>
<queryTable xmlns="http://schemas.openxmlformats.org/spreadsheetml/2006/main" name="ExternalData_2" refreshOnLoad="1" connectionId="3" autoFormatId="16" applyNumberFormats="0" applyBorderFormats="0" applyFontFormats="0" applyPatternFormats="0" applyAlignmentFormats="0" applyWidthHeightFormats="0">
  <queryTableRefresh nextId="27">
    <queryTableFields count="26">
      <queryTableField id="1" name="strikePrice" tableColumnId="1"/>
      <queryTableField id="2" name="expiryDate" tableColumnId="2"/>
      <queryTableField id="3" name="Call.strikePrice" tableColumnId="3"/>
      <queryTableField id="4" name="Call.expiryDate" tableColumnId="4"/>
      <queryTableField id="5" name="Call.underlying" tableColumnId="5"/>
      <queryTableField id="6" name="Call.openInterest" tableColumnId="6"/>
      <queryTableField id="7" name="Call.changeinOpenInterest" tableColumnId="7"/>
      <queryTableField id="8" name="Call.pchangeinOpenInterest" tableColumnId="8"/>
      <queryTableField id="9" name="Call.totalTradedVolume" tableColumnId="9"/>
      <queryTableField id="10" name="Call.impliedVolatility" tableColumnId="10"/>
      <queryTableField id="11" name="Call.lastPrice" tableColumnId="11"/>
      <queryTableField id="12" name="Call.change" tableColumnId="12"/>
      <queryTableField id="13" name="Call.pChange" tableColumnId="13"/>
      <queryTableField id="14" name="Call.underlyingValue" tableColumnId="14"/>
      <queryTableField id="15" name="Put.strikePrice" tableColumnId="15"/>
      <queryTableField id="16" name="Put.expiryDate" tableColumnId="16"/>
      <queryTableField id="17" name="Put.underlying" tableColumnId="17"/>
      <queryTableField id="18" name="Put.openInterest" tableColumnId="18"/>
      <queryTableField id="19" name="Put.changeinOpenInterest" tableColumnId="19"/>
      <queryTableField id="20" name="Put.pchangeinOpenInterest" tableColumnId="20"/>
      <queryTableField id="21" name="Put.totalTradedVolume" tableColumnId="21"/>
      <queryTableField id="22" name="Put.impliedVolatility" tableColumnId="22"/>
      <queryTableField id="23" name="Put.lastPrice" tableColumnId="23"/>
      <queryTableField id="24" name="Put.change" tableColumnId="24"/>
      <queryTableField id="25" name="Put.pChange" tableColumnId="25"/>
      <queryTableField id="26" name="Put.underlyingValue" tableColumnId="26"/>
    </queryTableFields>
  </queryTableRefresh>
</queryTable>
</file>

<file path=xl/queryTables/queryTable6.xml><?xml version="1.0" encoding="utf-8"?>
<queryTable xmlns="http://schemas.openxmlformats.org/spreadsheetml/2006/main" name="ExternalData_1" refreshOnLoad="1" connectionId="2" autoFormatId="16" applyNumberFormats="0" applyBorderFormats="0" applyFontFormats="0" applyPatternFormats="0" applyAlignmentFormats="0" applyWidthHeightFormats="0">
  <queryTableRefresh nextId="29">
    <queryTableFields count="26">
      <queryTableField id="1" name="strikePrice" tableColumnId="1"/>
      <queryTableField id="2" name="expiryDate" tableColumnId="2"/>
      <queryTableField id="3" name="Call.strikePrice" tableColumnId="3"/>
      <queryTableField id="4" name="Call.expiryDate" tableColumnId="4"/>
      <queryTableField id="5" name="Call.underlying" tableColumnId="5"/>
      <queryTableField id="6" name="Call.openInterest" tableColumnId="6"/>
      <queryTableField id="7" name="Call.changeinOpenInterest" tableColumnId="7"/>
      <queryTableField id="25" name="Call.pchangeinOpenInterest" tableColumnId="25"/>
      <queryTableField id="8" name="Call.totalTradedVolume" tableColumnId="8"/>
      <queryTableField id="9" name="Call.impliedVolatility" tableColumnId="9"/>
      <queryTableField id="10" name="Call.lastPrice" tableColumnId="10"/>
      <queryTableField id="11" name="Call.change" tableColumnId="11"/>
      <queryTableField id="12" name="Call.pChange" tableColumnId="12"/>
      <queryTableField id="13" name="Call.underlyingValue" tableColumnId="13"/>
      <queryTableField id="14" name="Put.strikePrice" tableColumnId="14"/>
      <queryTableField id="15" name="Put.expiryDate" tableColumnId="15"/>
      <queryTableField id="16" name="Put.underlying" tableColumnId="16"/>
      <queryTableField id="17" name="Put.openInterest" tableColumnId="17"/>
      <queryTableField id="18" name="Put.changeinOpenInterest" tableColumnId="18"/>
      <queryTableField id="26" name="Put.pchangeinOpenInterest" tableColumnId="26"/>
      <queryTableField id="19" name="Put.totalTradedVolume" tableColumnId="19"/>
      <queryTableField id="20" name="Put.impliedVolatility" tableColumnId="20"/>
      <queryTableField id="21" name="Put.lastPrice" tableColumnId="21"/>
      <queryTableField id="22" name="Put.change" tableColumnId="22"/>
      <queryTableField id="23" name="Put.pChange" tableColumnId="23"/>
      <queryTableField id="24" name="Put.underlyingValue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4" name="NIFTY_Next_Expiry" displayName="NIFTY_Next_Expiry" ref="A1:Z69" tableType="queryTable" totalsRowShown="0">
  <autoFilter ref="A1:Z69"/>
  <tableColumns count="26">
    <tableColumn id="1" uniqueName="1" name="strikePrice" queryTableFieldId="1"/>
    <tableColumn id="2" uniqueName="2" name="expiryDate" queryTableFieldId="2"/>
    <tableColumn id="3" uniqueName="3" name="Put.strikePrice" queryTableFieldId="3"/>
    <tableColumn id="4" uniqueName="4" name="Put.expiryDate" queryTableFieldId="4"/>
    <tableColumn id="5" uniqueName="5" name="Put.underlying" queryTableFieldId="5"/>
    <tableColumn id="6" uniqueName="6" name="Put.openInterest" queryTableFieldId="6"/>
    <tableColumn id="7" uniqueName="7" name="Put.changeinOpenInterest" queryTableFieldId="7"/>
    <tableColumn id="8" uniqueName="8" name="Put.pchangeinOpenInterest" queryTableFieldId="8"/>
    <tableColumn id="9" uniqueName="9" name="Put.totalTradedVolume" queryTableFieldId="9"/>
    <tableColumn id="10" uniqueName="10" name="Put.impliedVolatility" queryTableFieldId="10"/>
    <tableColumn id="11" uniqueName="11" name="Put.lastPrice" queryTableFieldId="11"/>
    <tableColumn id="12" uniqueName="12" name="Put.change" queryTableFieldId="12"/>
    <tableColumn id="13" uniqueName="13" name="Put.pChange" queryTableFieldId="13"/>
    <tableColumn id="14" uniqueName="14" name="Put.underlyingValue" queryTableFieldId="14"/>
    <tableColumn id="15" uniqueName="15" name="Call.strikePrice" queryTableFieldId="15"/>
    <tableColumn id="16" uniqueName="16" name="Call.expiryDate" queryTableFieldId="16"/>
    <tableColumn id="17" uniqueName="17" name="Call.underlying" queryTableFieldId="17"/>
    <tableColumn id="18" uniqueName="18" name="Call.openInterest" queryTableFieldId="18"/>
    <tableColumn id="19" uniqueName="19" name="Call.changeinOpenInterest" queryTableFieldId="19"/>
    <tableColumn id="20" uniqueName="20" name="Call.pchangeinOpenInterest" queryTableFieldId="20"/>
    <tableColumn id="21" uniqueName="21" name="Call.totalTradedVolume" queryTableFieldId="21"/>
    <tableColumn id="22" uniqueName="22" name="Call.impliedVolatility" queryTableFieldId="22"/>
    <tableColumn id="23" uniqueName="23" name="Call.lastPrice" queryTableFieldId="23"/>
    <tableColumn id="24" uniqueName="24" name="Call.change" queryTableFieldId="24"/>
    <tableColumn id="25" uniqueName="25" name="Call.pChange" queryTableFieldId="25"/>
    <tableColumn id="26" uniqueName="26" name="Call.underlyingValue" queryTableField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6" name="NIFTY_Monthly_Expiry" displayName="NIFTY_Monthly_Expiry" ref="A1:Z81" tableType="queryTable" totalsRowShown="0">
  <autoFilter ref="A1:Z81"/>
  <tableColumns count="26">
    <tableColumn id="1" uniqueName="1" name="strikePrice" queryTableFieldId="1"/>
    <tableColumn id="2" uniqueName="2" name="expiryDate" queryTableFieldId="2"/>
    <tableColumn id="3" uniqueName="3" name="Put.strikePrice" queryTableFieldId="3"/>
    <tableColumn id="4" uniqueName="4" name="Put.expiryDate" queryTableFieldId="4"/>
    <tableColumn id="5" uniqueName="5" name="Put.underlying" queryTableFieldId="5"/>
    <tableColumn id="6" uniqueName="6" name="Put.openInterest" queryTableFieldId="6"/>
    <tableColumn id="7" uniqueName="7" name="Put.changeinOpenInterest" queryTableFieldId="7"/>
    <tableColumn id="8" uniqueName="8" name="Put.pchangeinOpenInterest" queryTableFieldId="8"/>
    <tableColumn id="9" uniqueName="9" name="Put.totalTradedVolume" queryTableFieldId="9"/>
    <tableColumn id="10" uniqueName="10" name="Put.impliedVolatility" queryTableFieldId="10"/>
    <tableColumn id="11" uniqueName="11" name="Put.lastPrice" queryTableFieldId="11"/>
    <tableColumn id="12" uniqueName="12" name="Put.change" queryTableFieldId="12"/>
    <tableColumn id="13" uniqueName="13" name="Put.pChange" queryTableFieldId="13"/>
    <tableColumn id="14" uniqueName="14" name="Put.underlyingValue" queryTableFieldId="14"/>
    <tableColumn id="15" uniqueName="15" name="Call.strikePrice" queryTableFieldId="15"/>
    <tableColumn id="16" uniqueName="16" name="Call.expiryDate" queryTableFieldId="16"/>
    <tableColumn id="17" uniqueName="17" name="Call.underlying" queryTableFieldId="17"/>
    <tableColumn id="18" uniqueName="18" name="Call.openInterest" queryTableFieldId="18"/>
    <tableColumn id="19" uniqueName="19" name="Call.changeinOpenInterest" queryTableFieldId="19"/>
    <tableColumn id="20" uniqueName="20" name="Call.pchangeinOpenInterest" queryTableFieldId="20"/>
    <tableColumn id="21" uniqueName="21" name="Call.totalTradedVolume" queryTableFieldId="21"/>
    <tableColumn id="22" uniqueName="22" name="Call.impliedVolatility" queryTableFieldId="22"/>
    <tableColumn id="23" uniqueName="23" name="Call.lastPrice" queryTableFieldId="23"/>
    <tableColumn id="24" uniqueName="24" name="Call.change" queryTableFieldId="24"/>
    <tableColumn id="25" uniqueName="25" name="Call.pChange" queryTableFieldId="25"/>
    <tableColumn id="26" uniqueName="26" name="Call.underlyingValue" queryTableFieldId="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BANKNIFTY_Monthly_Expiry" displayName="BANKNIFTY_Monthly_Expiry" ref="A1:Z85" tableType="queryTable" totalsRowShown="0">
  <autoFilter ref="A1:Z85"/>
  <tableColumns count="26">
    <tableColumn id="1" uniqueName="1" name="strikePrice" queryTableFieldId="1"/>
    <tableColumn id="2" uniqueName="2" name="expiryDate" queryTableFieldId="2"/>
    <tableColumn id="3" uniqueName="3" name="Call.strikePrice" queryTableFieldId="3"/>
    <tableColumn id="4" uniqueName="4" name="Call.expiryDate" queryTableFieldId="4"/>
    <tableColumn id="5" uniqueName="5" name="Call.underlying" queryTableFieldId="5"/>
    <tableColumn id="6" uniqueName="6" name="Call.openInterest" queryTableFieldId="6"/>
    <tableColumn id="7" uniqueName="7" name="Call.changeinOpenInterest" queryTableFieldId="7"/>
    <tableColumn id="8" uniqueName="8" name="Call.pchangeinOpenInterest" queryTableFieldId="8"/>
    <tableColumn id="9" uniqueName="9" name="Call.totalTradedVolume" queryTableFieldId="9"/>
    <tableColumn id="10" uniqueName="10" name="Call.impliedVolatility" queryTableFieldId="10"/>
    <tableColumn id="11" uniqueName="11" name="Call.lastPrice" queryTableFieldId="11"/>
    <tableColumn id="12" uniqueName="12" name="Call.change" queryTableFieldId="12"/>
    <tableColumn id="13" uniqueName="13" name="Call.pChange" queryTableFieldId="13"/>
    <tableColumn id="14" uniqueName="14" name="Call.underlyingValue" queryTableFieldId="14"/>
    <tableColumn id="15" uniqueName="15" name="Put.strikePrice" queryTableFieldId="15"/>
    <tableColumn id="16" uniqueName="16" name="Put.expiryDate" queryTableFieldId="16"/>
    <tableColumn id="17" uniqueName="17" name="Put.underlying" queryTableFieldId="17"/>
    <tableColumn id="18" uniqueName="18" name="Put.openInterest" queryTableFieldId="18"/>
    <tableColumn id="19" uniqueName="19" name="Put.changeinOpenInterest" queryTableFieldId="19"/>
    <tableColumn id="20" uniqueName="20" name="Put.pchangeinOpenInterest" queryTableFieldId="20"/>
    <tableColumn id="21" uniqueName="21" name="Put.totalTradedVolume" queryTableFieldId="21"/>
    <tableColumn id="22" uniqueName="22" name="Put.impliedVolatility" queryTableFieldId="22"/>
    <tableColumn id="23" uniqueName="23" name="Put.lastPrice" queryTableFieldId="23"/>
    <tableColumn id="24" uniqueName="24" name="Put.change" queryTableFieldId="24"/>
    <tableColumn id="25" uniqueName="25" name="Put.pChange" queryTableFieldId="25"/>
    <tableColumn id="26" uniqueName="26" name="Put.underlyingValue" queryTableFieldId="2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NIFTY_Near_Expiry" displayName="NIFTY_Near_Expiry" ref="B3:AA116" tableType="queryTable" totalsRowShown="0">
  <autoFilter ref="B3:AA116"/>
  <tableColumns count="26">
    <tableColumn id="1" uniqueName="1" name="strikePrice" queryTableFieldId="1"/>
    <tableColumn id="2" uniqueName="2" name="expiryDate" queryTableFieldId="2"/>
    <tableColumn id="3" uniqueName="3" name="Call.strikePrice" queryTableFieldId="3"/>
    <tableColumn id="4" uniqueName="4" name="Call.expiryDate" queryTableFieldId="4"/>
    <tableColumn id="5" uniqueName="5" name="Call.underlying" queryTableFieldId="5"/>
    <tableColumn id="6" uniqueName="6" name="Call.openInterest" queryTableFieldId="6"/>
    <tableColumn id="7" uniqueName="7" name="Call.changeinOpenInterest" queryTableFieldId="7"/>
    <tableColumn id="25" uniqueName="25" name="Call.pchangeinOpenInterest" queryTableFieldId="25"/>
    <tableColumn id="8" uniqueName="8" name="Call.totalTradedVolume" queryTableFieldId="8"/>
    <tableColumn id="9" uniqueName="9" name="Call.impliedVolatility" queryTableFieldId="9"/>
    <tableColumn id="10" uniqueName="10" name="Call.lastPrice" queryTableFieldId="10"/>
    <tableColumn id="11" uniqueName="11" name="Call.change" queryTableFieldId="11"/>
    <tableColumn id="12" uniqueName="12" name="Call.pChange" queryTableFieldId="12"/>
    <tableColumn id="13" uniqueName="13" name="Call.underlyingValue" queryTableFieldId="13"/>
    <tableColumn id="14" uniqueName="14" name="Put.strikePrice" queryTableFieldId="14"/>
    <tableColumn id="15" uniqueName="15" name="Put.expiryDate" queryTableFieldId="15"/>
    <tableColumn id="16" uniqueName="16" name="Put.underlying" queryTableFieldId="16"/>
    <tableColumn id="17" uniqueName="17" name="Put.openInterest" queryTableFieldId="17"/>
    <tableColumn id="18" uniqueName="18" name="Put.changeinOpenInterest" queryTableFieldId="18"/>
    <tableColumn id="26" uniqueName="26" name="Put.pchangeinOpenInterest" queryTableFieldId="26"/>
    <tableColumn id="19" uniqueName="19" name="Put.totalTradedVolume" queryTableFieldId="19"/>
    <tableColumn id="20" uniqueName="20" name="Put.impliedVolatility" queryTableFieldId="20"/>
    <tableColumn id="21" uniqueName="21" name="Put.lastPrice" queryTableFieldId="21"/>
    <tableColumn id="22" uniqueName="22" name="Put.change" queryTableFieldId="22"/>
    <tableColumn id="23" uniqueName="23" name="Put.pChange" queryTableFieldId="23"/>
    <tableColumn id="24" uniqueName="24" name="Put.underlyingValue" queryTableField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BANKNIFTY_Next_Expiry" displayName="BANKNIFTY_Next_Expiry" ref="A1:Z76" tableType="queryTable" totalsRowShown="0">
  <autoFilter ref="A1:Z76"/>
  <tableColumns count="26">
    <tableColumn id="1" uniqueName="1" name="strikePrice" queryTableFieldId="1"/>
    <tableColumn id="2" uniqueName="2" name="expiryDate" queryTableFieldId="2"/>
    <tableColumn id="3" uniqueName="3" name="Call.strikePrice" queryTableFieldId="3"/>
    <tableColumn id="4" uniqueName="4" name="Call.expiryDate" queryTableFieldId="4"/>
    <tableColumn id="5" uniqueName="5" name="Call.underlying" queryTableFieldId="5"/>
    <tableColumn id="6" uniqueName="6" name="Call.openInterest" queryTableFieldId="6"/>
    <tableColumn id="7" uniqueName="7" name="Call.changeinOpenInterest" queryTableFieldId="7"/>
    <tableColumn id="8" uniqueName="8" name="Call.pchangeinOpenInterest" queryTableFieldId="8"/>
    <tableColumn id="9" uniqueName="9" name="Call.totalTradedVolume" queryTableFieldId="9"/>
    <tableColumn id="10" uniqueName="10" name="Call.impliedVolatility" queryTableFieldId="10"/>
    <tableColumn id="11" uniqueName="11" name="Call.lastPrice" queryTableFieldId="11"/>
    <tableColumn id="12" uniqueName="12" name="Call.change" queryTableFieldId="12"/>
    <tableColumn id="13" uniqueName="13" name="Call.pChange" queryTableFieldId="13"/>
    <tableColumn id="14" uniqueName="14" name="Call.underlyingValue" queryTableFieldId="14"/>
    <tableColumn id="15" uniqueName="15" name="Put.strikePrice" queryTableFieldId="15"/>
    <tableColumn id="16" uniqueName="16" name="Put.expiryDate" queryTableFieldId="16"/>
    <tableColumn id="17" uniqueName="17" name="Put.underlying" queryTableFieldId="17"/>
    <tableColumn id="18" uniqueName="18" name="Put.openInterest" queryTableFieldId="18"/>
    <tableColumn id="19" uniqueName="19" name="Put.changeinOpenInterest" queryTableFieldId="19"/>
    <tableColumn id="20" uniqueName="20" name="Put.pchangeinOpenInterest" queryTableFieldId="20"/>
    <tableColumn id="21" uniqueName="21" name="Put.totalTradedVolume" queryTableFieldId="21"/>
    <tableColumn id="22" uniqueName="22" name="Put.impliedVolatility" queryTableFieldId="22"/>
    <tableColumn id="23" uniqueName="23" name="Put.lastPrice" queryTableFieldId="23"/>
    <tableColumn id="24" uniqueName="24" name="Put.change" queryTableFieldId="24"/>
    <tableColumn id="25" uniqueName="25" name="Put.pChange" queryTableFieldId="25"/>
    <tableColumn id="26" uniqueName="26" name="Put.underlyingValue" queryTableFieldId="2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" name="BANKNIFTY_Near_Expiry" displayName="BANKNIFTY_Near_Expiry" ref="B3:AA117" tableType="queryTable" totalsRowShown="0">
  <autoFilter ref="B3:AA117"/>
  <tableColumns count="26">
    <tableColumn id="1" uniqueName="1" name="strikePrice" queryTableFieldId="1"/>
    <tableColumn id="2" uniqueName="2" name="expiryDate" queryTableFieldId="2"/>
    <tableColumn id="3" uniqueName="3" name="Call.strikePrice" queryTableFieldId="3"/>
    <tableColumn id="4" uniqueName="4" name="Call.expiryDate" queryTableFieldId="4"/>
    <tableColumn id="5" uniqueName="5" name="Call.underlying" queryTableFieldId="5"/>
    <tableColumn id="6" uniqueName="6" name="Call.openInterest" queryTableFieldId="6"/>
    <tableColumn id="7" uniqueName="7" name="Call.changeinOpenInterest" queryTableFieldId="7"/>
    <tableColumn id="25" uniqueName="25" name="Call.pchangeinOpenInterest" queryTableFieldId="25"/>
    <tableColumn id="8" uniqueName="8" name="Call.totalTradedVolume" queryTableFieldId="8"/>
    <tableColumn id="9" uniqueName="9" name="Call.impliedVolatility" queryTableFieldId="9"/>
    <tableColumn id="10" uniqueName="10" name="Call.lastPrice" queryTableFieldId="10"/>
    <tableColumn id="11" uniqueName="11" name="Call.change" queryTableFieldId="11"/>
    <tableColumn id="12" uniqueName="12" name="Call.pChange" queryTableFieldId="12"/>
    <tableColumn id="13" uniqueName="13" name="Call.underlyingValue" queryTableFieldId="13"/>
    <tableColumn id="14" uniqueName="14" name="Put.strikePrice" queryTableFieldId="14"/>
    <tableColumn id="15" uniqueName="15" name="Put.expiryDate" queryTableFieldId="15"/>
    <tableColumn id="16" uniqueName="16" name="Put.underlying" queryTableFieldId="16"/>
    <tableColumn id="17" uniqueName="17" name="Put.openInterest" queryTableFieldId="17"/>
    <tableColumn id="18" uniqueName="18" name="Put.changeinOpenInterest" queryTableFieldId="18"/>
    <tableColumn id="26" uniqueName="26" name="Put.pchangeinOpenInterest" queryTableFieldId="26"/>
    <tableColumn id="19" uniqueName="19" name="Put.totalTradedVolume" queryTableFieldId="19"/>
    <tableColumn id="20" uniqueName="20" name="Put.impliedVolatility" queryTableFieldId="20"/>
    <tableColumn id="21" uniqueName="21" name="Put.lastPrice" queryTableFieldId="21"/>
    <tableColumn id="22" uniqueName="22" name="Put.change" queryTableFieldId="22"/>
    <tableColumn id="23" uniqueName="23" name="Put.pChange" queryTableFieldId="23"/>
    <tableColumn id="24" uniqueName="24" name="Put.underlyingValue" queryTableField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9"/>
  <sheetViews>
    <sheetView workbookViewId="0">
      <selection sqref="A1:Z69"/>
    </sheetView>
  </sheetViews>
  <sheetFormatPr defaultRowHeight="15" x14ac:dyDescent="0.25"/>
  <cols>
    <col min="1" max="1" width="12.7109375" bestFit="1" customWidth="1"/>
    <col min="2" max="2" width="13" bestFit="1" customWidth="1"/>
    <col min="3" max="3" width="16.42578125" bestFit="1" customWidth="1"/>
    <col min="4" max="4" width="16.7109375" bestFit="1" customWidth="1"/>
    <col min="5" max="5" width="16.5703125" bestFit="1" customWidth="1"/>
    <col min="6" max="6" width="18.5703125" bestFit="1" customWidth="1"/>
    <col min="7" max="7" width="27.140625" bestFit="1" customWidth="1"/>
    <col min="8" max="8" width="28.42578125" bestFit="1" customWidth="1"/>
    <col min="9" max="9" width="24.5703125" bestFit="1" customWidth="1"/>
    <col min="10" max="10" width="22.140625" bestFit="1" customWidth="1"/>
    <col min="11" max="11" width="14.42578125" bestFit="1" customWidth="1"/>
    <col min="12" max="12" width="13.140625" bestFit="1" customWidth="1"/>
    <col min="13" max="13" width="14.5703125" bestFit="1" customWidth="1"/>
    <col min="14" max="14" width="21.85546875" bestFit="1" customWidth="1"/>
    <col min="15" max="15" width="16.7109375" bestFit="1" customWidth="1"/>
    <col min="16" max="16" width="17" bestFit="1" customWidth="1"/>
    <col min="17" max="17" width="16.85546875" bestFit="1" customWidth="1"/>
    <col min="18" max="18" width="18.85546875" bestFit="1" customWidth="1"/>
    <col min="19" max="19" width="27.42578125" bestFit="1" customWidth="1"/>
    <col min="20" max="20" width="28.7109375" bestFit="1" customWidth="1"/>
    <col min="21" max="21" width="24.85546875" bestFit="1" customWidth="1"/>
    <col min="22" max="22" width="22.42578125" bestFit="1" customWidth="1"/>
    <col min="23" max="23" width="14.7109375" bestFit="1" customWidth="1"/>
    <col min="24" max="24" width="13.42578125" bestFit="1" customWidth="1"/>
    <col min="25" max="25" width="14.85546875" bestFit="1" customWidth="1"/>
    <col min="26" max="26" width="22.140625" bestFit="1" customWidth="1"/>
  </cols>
  <sheetData>
    <row r="1" spans="1:26" x14ac:dyDescent="0.25">
      <c r="A1" t="s">
        <v>0</v>
      </c>
      <c r="B1" t="s">
        <v>1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40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</v>
      </c>
      <c r="P1" t="s">
        <v>3</v>
      </c>
      <c r="Q1" t="s">
        <v>4</v>
      </c>
      <c r="R1" t="s">
        <v>5</v>
      </c>
      <c r="S1" t="s">
        <v>6</v>
      </c>
      <c r="T1" t="s">
        <v>39</v>
      </c>
      <c r="U1" t="s">
        <v>7</v>
      </c>
      <c r="V1" t="s">
        <v>8</v>
      </c>
      <c r="W1" t="s">
        <v>9</v>
      </c>
      <c r="X1" t="s">
        <v>10</v>
      </c>
      <c r="Y1" t="s">
        <v>11</v>
      </c>
      <c r="Z1" t="s">
        <v>12</v>
      </c>
    </row>
    <row r="2" spans="1:26" x14ac:dyDescent="0.25">
      <c r="A2">
        <v>17000</v>
      </c>
      <c r="B2" t="s">
        <v>48</v>
      </c>
      <c r="C2">
        <v>17000</v>
      </c>
      <c r="D2" t="s">
        <v>48</v>
      </c>
      <c r="E2" t="s">
        <v>24</v>
      </c>
      <c r="F2">
        <v>1779</v>
      </c>
      <c r="G2">
        <v>903</v>
      </c>
      <c r="H2">
        <v>103.08219178082192</v>
      </c>
      <c r="I2">
        <v>3295</v>
      </c>
      <c r="J2">
        <v>22.09</v>
      </c>
      <c r="K2">
        <v>2.5</v>
      </c>
      <c r="L2">
        <v>-0.35000000000000009</v>
      </c>
      <c r="M2">
        <v>-12.280701754385968</v>
      </c>
      <c r="N2">
        <v>18665.5</v>
      </c>
      <c r="O2">
        <v>17000</v>
      </c>
      <c r="P2" t="s">
        <v>48</v>
      </c>
      <c r="Q2" t="s">
        <v>24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18665.5</v>
      </c>
    </row>
    <row r="3" spans="1:26" x14ac:dyDescent="0.25">
      <c r="A3">
        <v>17050</v>
      </c>
      <c r="B3" t="s">
        <v>48</v>
      </c>
      <c r="C3">
        <v>17050</v>
      </c>
      <c r="D3" t="s">
        <v>48</v>
      </c>
      <c r="E3" t="s">
        <v>24</v>
      </c>
      <c r="F3">
        <v>3</v>
      </c>
      <c r="G3">
        <v>0</v>
      </c>
      <c r="H3">
        <v>0</v>
      </c>
      <c r="I3">
        <v>0</v>
      </c>
      <c r="J3">
        <v>0</v>
      </c>
      <c r="K3">
        <v>5</v>
      </c>
      <c r="L3">
        <v>0</v>
      </c>
      <c r="M3">
        <v>0</v>
      </c>
      <c r="N3">
        <v>18665.5</v>
      </c>
      <c r="O3">
        <v>17050</v>
      </c>
      <c r="P3" t="s">
        <v>48</v>
      </c>
      <c r="Q3" t="s">
        <v>24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18665.5</v>
      </c>
    </row>
    <row r="4" spans="1:26" x14ac:dyDescent="0.25">
      <c r="A4">
        <v>17100</v>
      </c>
      <c r="B4" t="s">
        <v>48</v>
      </c>
      <c r="C4">
        <v>17100</v>
      </c>
      <c r="D4" t="s">
        <v>48</v>
      </c>
      <c r="E4" t="s">
        <v>24</v>
      </c>
      <c r="F4">
        <v>20</v>
      </c>
      <c r="G4">
        <v>19</v>
      </c>
      <c r="H4">
        <v>1900</v>
      </c>
      <c r="I4">
        <v>45</v>
      </c>
      <c r="J4">
        <v>21.51</v>
      </c>
      <c r="K4">
        <v>3.1</v>
      </c>
      <c r="L4">
        <v>0.10000000000000007</v>
      </c>
      <c r="M4">
        <v>3.3333333333333361</v>
      </c>
      <c r="N4">
        <v>18665.5</v>
      </c>
      <c r="O4">
        <v>17100</v>
      </c>
      <c r="P4" t="s">
        <v>48</v>
      </c>
      <c r="Q4" t="s">
        <v>24</v>
      </c>
      <c r="R4">
        <v>1</v>
      </c>
      <c r="S4">
        <v>1</v>
      </c>
      <c r="T4">
        <v>0</v>
      </c>
      <c r="U4">
        <v>1</v>
      </c>
      <c r="V4">
        <v>22.03</v>
      </c>
      <c r="W4">
        <v>1630</v>
      </c>
      <c r="X4">
        <v>101.75</v>
      </c>
      <c r="Y4">
        <v>6.6579420906265341</v>
      </c>
      <c r="Z4">
        <v>18665.5</v>
      </c>
    </row>
    <row r="5" spans="1:26" x14ac:dyDescent="0.25">
      <c r="A5">
        <v>17150</v>
      </c>
      <c r="B5" t="s">
        <v>48</v>
      </c>
      <c r="C5">
        <v>17150</v>
      </c>
      <c r="D5" t="s">
        <v>48</v>
      </c>
      <c r="E5" t="s">
        <v>24</v>
      </c>
      <c r="F5">
        <v>46</v>
      </c>
      <c r="G5">
        <v>46</v>
      </c>
      <c r="H5">
        <v>0</v>
      </c>
      <c r="I5">
        <v>56</v>
      </c>
      <c r="J5">
        <v>20.47</v>
      </c>
      <c r="K5">
        <v>2.65</v>
      </c>
      <c r="L5">
        <v>-24.4</v>
      </c>
      <c r="M5">
        <v>-90.203327171903894</v>
      </c>
      <c r="N5">
        <v>18665.5</v>
      </c>
      <c r="O5">
        <v>17150</v>
      </c>
      <c r="P5" t="s">
        <v>48</v>
      </c>
      <c r="Q5" t="s">
        <v>24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18665.5</v>
      </c>
    </row>
    <row r="6" spans="1:26" x14ac:dyDescent="0.25">
      <c r="A6">
        <v>17200</v>
      </c>
      <c r="B6" t="s">
        <v>48</v>
      </c>
      <c r="C6">
        <v>17200</v>
      </c>
      <c r="D6" t="s">
        <v>48</v>
      </c>
      <c r="E6" t="s">
        <v>24</v>
      </c>
      <c r="F6">
        <v>206</v>
      </c>
      <c r="G6">
        <v>190</v>
      </c>
      <c r="H6">
        <v>1187.5</v>
      </c>
      <c r="I6">
        <v>1333</v>
      </c>
      <c r="J6">
        <v>19.829999999999998</v>
      </c>
      <c r="K6">
        <v>2.6</v>
      </c>
      <c r="L6">
        <v>-2.2499999999999996</v>
      </c>
      <c r="M6">
        <v>-46.391752577319586</v>
      </c>
      <c r="N6">
        <v>18665.5</v>
      </c>
      <c r="O6">
        <v>17200</v>
      </c>
      <c r="P6" t="s">
        <v>48</v>
      </c>
      <c r="Q6" t="s">
        <v>24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18665.5</v>
      </c>
    </row>
    <row r="7" spans="1:26" x14ac:dyDescent="0.25">
      <c r="A7">
        <v>17250</v>
      </c>
      <c r="B7" t="s">
        <v>48</v>
      </c>
      <c r="C7">
        <v>17250</v>
      </c>
      <c r="D7" t="s">
        <v>48</v>
      </c>
      <c r="E7" t="s">
        <v>24</v>
      </c>
      <c r="F7">
        <v>20</v>
      </c>
      <c r="G7">
        <v>20</v>
      </c>
      <c r="H7">
        <v>0</v>
      </c>
      <c r="I7">
        <v>29</v>
      </c>
      <c r="J7">
        <v>19.39</v>
      </c>
      <c r="K7">
        <v>2.75</v>
      </c>
      <c r="L7">
        <v>-31.799999999999997</v>
      </c>
      <c r="M7">
        <v>-92.040520984081041</v>
      </c>
      <c r="N7">
        <v>18665.5</v>
      </c>
      <c r="O7">
        <v>17250</v>
      </c>
      <c r="P7" t="s">
        <v>48</v>
      </c>
      <c r="Q7" t="s">
        <v>24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18665.5</v>
      </c>
    </row>
    <row r="8" spans="1:26" x14ac:dyDescent="0.25">
      <c r="A8">
        <v>17300</v>
      </c>
      <c r="B8" t="s">
        <v>48</v>
      </c>
      <c r="C8">
        <v>17300</v>
      </c>
      <c r="D8" t="s">
        <v>48</v>
      </c>
      <c r="E8" t="s">
        <v>24</v>
      </c>
      <c r="F8">
        <v>99</v>
      </c>
      <c r="G8">
        <v>36</v>
      </c>
      <c r="H8">
        <v>57.142857142857146</v>
      </c>
      <c r="I8">
        <v>299</v>
      </c>
      <c r="J8">
        <v>18.97</v>
      </c>
      <c r="K8">
        <v>2.95</v>
      </c>
      <c r="L8">
        <v>-1.5499999999999998</v>
      </c>
      <c r="M8">
        <v>-34.444444444444436</v>
      </c>
      <c r="N8">
        <v>18665.5</v>
      </c>
      <c r="O8">
        <v>17300</v>
      </c>
      <c r="P8" t="s">
        <v>48</v>
      </c>
      <c r="Q8" t="s">
        <v>24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18665.5</v>
      </c>
    </row>
    <row r="9" spans="1:26" x14ac:dyDescent="0.25">
      <c r="A9">
        <v>17350</v>
      </c>
      <c r="B9" t="s">
        <v>48</v>
      </c>
      <c r="C9">
        <v>17350</v>
      </c>
      <c r="D9" t="s">
        <v>48</v>
      </c>
      <c r="E9" t="s">
        <v>24</v>
      </c>
      <c r="F9">
        <v>114</v>
      </c>
      <c r="G9">
        <v>110</v>
      </c>
      <c r="H9">
        <v>2750</v>
      </c>
      <c r="I9">
        <v>230</v>
      </c>
      <c r="J9">
        <v>18.37</v>
      </c>
      <c r="K9">
        <v>2.95</v>
      </c>
      <c r="L9">
        <v>-1.1499999999999997</v>
      </c>
      <c r="M9">
        <v>-28.048780487804869</v>
      </c>
      <c r="N9">
        <v>18665.5</v>
      </c>
      <c r="O9">
        <v>17350</v>
      </c>
      <c r="P9" t="s">
        <v>48</v>
      </c>
      <c r="Q9" t="s">
        <v>24</v>
      </c>
      <c r="R9">
        <v>1</v>
      </c>
      <c r="S9">
        <v>0</v>
      </c>
      <c r="T9">
        <v>0</v>
      </c>
      <c r="U9">
        <v>0</v>
      </c>
      <c r="V9">
        <v>0</v>
      </c>
      <c r="W9">
        <v>1570</v>
      </c>
      <c r="X9">
        <v>0</v>
      </c>
      <c r="Y9">
        <v>0</v>
      </c>
      <c r="Z9">
        <v>18665.5</v>
      </c>
    </row>
    <row r="10" spans="1:26" x14ac:dyDescent="0.25">
      <c r="A10">
        <v>17400</v>
      </c>
      <c r="B10" t="s">
        <v>48</v>
      </c>
      <c r="C10">
        <v>17400</v>
      </c>
      <c r="D10" t="s">
        <v>48</v>
      </c>
      <c r="E10" t="s">
        <v>24</v>
      </c>
      <c r="F10">
        <v>475</v>
      </c>
      <c r="G10">
        <v>471</v>
      </c>
      <c r="H10">
        <v>11775</v>
      </c>
      <c r="I10">
        <v>1634</v>
      </c>
      <c r="J10">
        <v>17.93</v>
      </c>
      <c r="K10">
        <v>3.1</v>
      </c>
      <c r="L10">
        <v>-0.10000000000000007</v>
      </c>
      <c r="M10">
        <v>-3.1250000000000027</v>
      </c>
      <c r="N10">
        <v>18665.5</v>
      </c>
      <c r="O10">
        <v>17400</v>
      </c>
      <c r="P10" t="s">
        <v>48</v>
      </c>
      <c r="Q10" t="s">
        <v>24</v>
      </c>
      <c r="R10">
        <v>1</v>
      </c>
      <c r="S10">
        <v>0</v>
      </c>
      <c r="T10">
        <v>0</v>
      </c>
      <c r="U10">
        <v>0</v>
      </c>
      <c r="V10">
        <v>0</v>
      </c>
      <c r="W10">
        <v>1450</v>
      </c>
      <c r="X10">
        <v>0</v>
      </c>
      <c r="Y10">
        <v>0</v>
      </c>
      <c r="Z10">
        <v>18665.5</v>
      </c>
    </row>
    <row r="11" spans="1:26" x14ac:dyDescent="0.25">
      <c r="A11">
        <v>17450</v>
      </c>
      <c r="B11" t="s">
        <v>48</v>
      </c>
      <c r="C11">
        <v>17450</v>
      </c>
      <c r="D11" t="s">
        <v>48</v>
      </c>
      <c r="E11" t="s">
        <v>24</v>
      </c>
      <c r="F11">
        <v>76</v>
      </c>
      <c r="G11">
        <v>62</v>
      </c>
      <c r="H11">
        <v>442.85714285714278</v>
      </c>
      <c r="I11">
        <v>175</v>
      </c>
      <c r="J11">
        <v>17.440000000000001</v>
      </c>
      <c r="K11">
        <v>3.3</v>
      </c>
      <c r="L11">
        <v>-2.8</v>
      </c>
      <c r="M11">
        <v>-45.901639344262293</v>
      </c>
      <c r="N11">
        <v>18665.5</v>
      </c>
      <c r="O11">
        <v>17450</v>
      </c>
      <c r="P11" t="s">
        <v>48</v>
      </c>
      <c r="Q11" t="s">
        <v>24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18665.5</v>
      </c>
    </row>
    <row r="12" spans="1:26" x14ac:dyDescent="0.25">
      <c r="A12">
        <v>17500</v>
      </c>
      <c r="B12" t="s">
        <v>48</v>
      </c>
      <c r="C12">
        <v>17500</v>
      </c>
      <c r="D12" t="s">
        <v>48</v>
      </c>
      <c r="E12" t="s">
        <v>24</v>
      </c>
      <c r="F12">
        <v>2884</v>
      </c>
      <c r="G12">
        <v>745</v>
      </c>
      <c r="H12">
        <v>34.829359513791495</v>
      </c>
      <c r="I12">
        <v>7912</v>
      </c>
      <c r="J12">
        <v>17.010000000000002</v>
      </c>
      <c r="K12">
        <v>3.55</v>
      </c>
      <c r="L12">
        <v>-1.5</v>
      </c>
      <c r="M12">
        <v>-29.702970297029701</v>
      </c>
      <c r="N12">
        <v>18665.5</v>
      </c>
      <c r="O12">
        <v>17500</v>
      </c>
      <c r="P12" t="s">
        <v>48</v>
      </c>
      <c r="Q12" t="s">
        <v>24</v>
      </c>
      <c r="R12">
        <v>1</v>
      </c>
      <c r="S12">
        <v>1</v>
      </c>
      <c r="T12">
        <v>0</v>
      </c>
      <c r="U12">
        <v>1</v>
      </c>
      <c r="V12">
        <v>28.94</v>
      </c>
      <c r="W12">
        <v>1278</v>
      </c>
      <c r="X12">
        <v>109.84999999999992</v>
      </c>
      <c r="Y12">
        <v>9.4037580790138176</v>
      </c>
      <c r="Z12">
        <v>18665.5</v>
      </c>
    </row>
    <row r="13" spans="1:26" x14ac:dyDescent="0.25">
      <c r="A13">
        <v>17550</v>
      </c>
      <c r="B13" t="s">
        <v>48</v>
      </c>
      <c r="C13">
        <v>17550</v>
      </c>
      <c r="D13" t="s">
        <v>48</v>
      </c>
      <c r="E13" t="s">
        <v>24</v>
      </c>
      <c r="F13">
        <v>25</v>
      </c>
      <c r="G13">
        <v>11</v>
      </c>
      <c r="H13">
        <v>78.571428571428569</v>
      </c>
      <c r="I13">
        <v>60</v>
      </c>
      <c r="J13">
        <v>16.5</v>
      </c>
      <c r="K13">
        <v>3.7</v>
      </c>
      <c r="L13">
        <v>-2.25</v>
      </c>
      <c r="M13">
        <v>-37.815126050420169</v>
      </c>
      <c r="N13">
        <v>18665.5</v>
      </c>
      <c r="O13">
        <v>17550</v>
      </c>
      <c r="P13" t="s">
        <v>48</v>
      </c>
      <c r="Q13" t="s">
        <v>24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18665.5</v>
      </c>
    </row>
    <row r="14" spans="1:26" x14ac:dyDescent="0.25">
      <c r="A14">
        <v>17600</v>
      </c>
      <c r="B14" t="s">
        <v>48</v>
      </c>
      <c r="C14">
        <v>17600</v>
      </c>
      <c r="D14" t="s">
        <v>48</v>
      </c>
      <c r="E14" t="s">
        <v>24</v>
      </c>
      <c r="F14">
        <v>385</v>
      </c>
      <c r="G14">
        <v>254</v>
      </c>
      <c r="H14">
        <v>193.89312977099237</v>
      </c>
      <c r="I14">
        <v>819</v>
      </c>
      <c r="J14">
        <v>16</v>
      </c>
      <c r="K14">
        <v>3.9</v>
      </c>
      <c r="L14">
        <v>-1.9499999999999995</v>
      </c>
      <c r="M14">
        <v>-33.333333333333329</v>
      </c>
      <c r="N14">
        <v>18665.5</v>
      </c>
      <c r="O14">
        <v>17600</v>
      </c>
      <c r="P14" t="s">
        <v>48</v>
      </c>
      <c r="Q14" t="s">
        <v>24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18665.5</v>
      </c>
    </row>
    <row r="15" spans="1:26" x14ac:dyDescent="0.25">
      <c r="A15">
        <v>17650</v>
      </c>
      <c r="B15" t="s">
        <v>48</v>
      </c>
      <c r="C15">
        <v>17650</v>
      </c>
      <c r="D15" t="s">
        <v>48</v>
      </c>
      <c r="E15" t="s">
        <v>24</v>
      </c>
      <c r="F15">
        <v>21</v>
      </c>
      <c r="G15">
        <v>5</v>
      </c>
      <c r="H15">
        <v>31.25</v>
      </c>
      <c r="I15">
        <v>49</v>
      </c>
      <c r="J15">
        <v>15.67</v>
      </c>
      <c r="K15">
        <v>4.4000000000000004</v>
      </c>
      <c r="L15">
        <v>-2.0499999999999998</v>
      </c>
      <c r="M15">
        <v>-31.782945736434105</v>
      </c>
      <c r="N15">
        <v>18665.5</v>
      </c>
      <c r="O15">
        <v>17650</v>
      </c>
      <c r="P15" t="s">
        <v>48</v>
      </c>
      <c r="Q15" t="s">
        <v>24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18665.5</v>
      </c>
    </row>
    <row r="16" spans="1:26" x14ac:dyDescent="0.25">
      <c r="A16">
        <v>17700</v>
      </c>
      <c r="B16" t="s">
        <v>48</v>
      </c>
      <c r="C16">
        <v>17700</v>
      </c>
      <c r="D16" t="s">
        <v>48</v>
      </c>
      <c r="E16" t="s">
        <v>24</v>
      </c>
      <c r="F16">
        <v>1510</v>
      </c>
      <c r="G16">
        <v>1273</v>
      </c>
      <c r="H16">
        <v>537.13080168776366</v>
      </c>
      <c r="I16">
        <v>4098</v>
      </c>
      <c r="J16">
        <v>15.11</v>
      </c>
      <c r="K16">
        <v>4.55</v>
      </c>
      <c r="L16">
        <v>-0.75</v>
      </c>
      <c r="M16">
        <v>-14.150943396226417</v>
      </c>
      <c r="N16">
        <v>18665.5</v>
      </c>
      <c r="O16">
        <v>17700</v>
      </c>
      <c r="P16" t="s">
        <v>48</v>
      </c>
      <c r="Q16" t="s">
        <v>24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18665.5</v>
      </c>
    </row>
    <row r="17" spans="1:26" x14ac:dyDescent="0.25">
      <c r="A17">
        <v>17750</v>
      </c>
      <c r="B17" t="s">
        <v>48</v>
      </c>
      <c r="C17">
        <v>17750</v>
      </c>
      <c r="D17" t="s">
        <v>48</v>
      </c>
      <c r="E17" t="s">
        <v>24</v>
      </c>
      <c r="F17">
        <v>77</v>
      </c>
      <c r="G17">
        <v>73</v>
      </c>
      <c r="H17">
        <v>1825</v>
      </c>
      <c r="I17">
        <v>213</v>
      </c>
      <c r="J17">
        <v>14.48</v>
      </c>
      <c r="K17">
        <v>4.55</v>
      </c>
      <c r="L17">
        <v>-1.8500000000000003</v>
      </c>
      <c r="M17">
        <v>-28.906250000000007</v>
      </c>
      <c r="N17">
        <v>18665.5</v>
      </c>
      <c r="O17">
        <v>17750</v>
      </c>
      <c r="P17" t="s">
        <v>48</v>
      </c>
      <c r="Q17" t="s">
        <v>24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18665.5</v>
      </c>
    </row>
    <row r="18" spans="1:26" x14ac:dyDescent="0.25">
      <c r="A18">
        <v>17800</v>
      </c>
      <c r="B18" t="s">
        <v>48</v>
      </c>
      <c r="C18">
        <v>17800</v>
      </c>
      <c r="D18" t="s">
        <v>48</v>
      </c>
      <c r="E18" t="s">
        <v>24</v>
      </c>
      <c r="F18">
        <v>2292</v>
      </c>
      <c r="G18">
        <v>929</v>
      </c>
      <c r="H18">
        <v>68.158473954512104</v>
      </c>
      <c r="I18">
        <v>6087</v>
      </c>
      <c r="J18">
        <v>13.88</v>
      </c>
      <c r="K18">
        <v>4.7</v>
      </c>
      <c r="L18">
        <v>-0.79999999999999982</v>
      </c>
      <c r="M18">
        <v>-14.54545454545454</v>
      </c>
      <c r="N18">
        <v>18665.5</v>
      </c>
      <c r="O18">
        <v>17800</v>
      </c>
      <c r="P18" t="s">
        <v>48</v>
      </c>
      <c r="Q18" t="s">
        <v>24</v>
      </c>
      <c r="R18">
        <v>2</v>
      </c>
      <c r="S18">
        <v>2</v>
      </c>
      <c r="T18">
        <v>0</v>
      </c>
      <c r="U18">
        <v>2</v>
      </c>
      <c r="V18">
        <v>22.2</v>
      </c>
      <c r="W18">
        <v>970</v>
      </c>
      <c r="X18">
        <v>49.200000000000045</v>
      </c>
      <c r="Y18">
        <v>5.3431798436142532</v>
      </c>
      <c r="Z18">
        <v>18665.5</v>
      </c>
    </row>
    <row r="19" spans="1:26" x14ac:dyDescent="0.25">
      <c r="A19">
        <v>17850</v>
      </c>
      <c r="B19" t="s">
        <v>48</v>
      </c>
      <c r="C19">
        <v>17850</v>
      </c>
      <c r="D19" t="s">
        <v>48</v>
      </c>
      <c r="E19" t="s">
        <v>24</v>
      </c>
      <c r="F19">
        <v>334</v>
      </c>
      <c r="G19">
        <v>293</v>
      </c>
      <c r="H19">
        <v>714.63414634146341</v>
      </c>
      <c r="I19">
        <v>820</v>
      </c>
      <c r="J19">
        <v>13.58</v>
      </c>
      <c r="K19">
        <v>5.4</v>
      </c>
      <c r="L19">
        <v>0.25</v>
      </c>
      <c r="M19">
        <v>4.8543689320388346</v>
      </c>
      <c r="N19">
        <v>18665.5</v>
      </c>
      <c r="O19">
        <v>17850</v>
      </c>
      <c r="P19" t="s">
        <v>48</v>
      </c>
      <c r="Q19" t="s">
        <v>24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18665.5</v>
      </c>
    </row>
    <row r="20" spans="1:26" x14ac:dyDescent="0.25">
      <c r="A20">
        <v>17900</v>
      </c>
      <c r="B20" t="s">
        <v>48</v>
      </c>
      <c r="C20">
        <v>17900</v>
      </c>
      <c r="D20" t="s">
        <v>48</v>
      </c>
      <c r="E20" t="s">
        <v>24</v>
      </c>
      <c r="F20">
        <v>1017</v>
      </c>
      <c r="G20">
        <v>747</v>
      </c>
      <c r="H20">
        <v>276.66666666666669</v>
      </c>
      <c r="I20">
        <v>4432</v>
      </c>
      <c r="J20">
        <v>13.1</v>
      </c>
      <c r="K20">
        <v>5.85</v>
      </c>
      <c r="L20">
        <v>-0.65000000000000036</v>
      </c>
      <c r="M20">
        <v>-10.000000000000004</v>
      </c>
      <c r="N20">
        <v>18665.5</v>
      </c>
      <c r="O20">
        <v>17900</v>
      </c>
      <c r="P20" t="s">
        <v>48</v>
      </c>
      <c r="Q20" t="s">
        <v>24</v>
      </c>
      <c r="R20">
        <v>7</v>
      </c>
      <c r="S20">
        <v>6</v>
      </c>
      <c r="T20">
        <v>600</v>
      </c>
      <c r="U20">
        <v>6</v>
      </c>
      <c r="V20">
        <v>17.23</v>
      </c>
      <c r="W20">
        <v>851</v>
      </c>
      <c r="X20">
        <v>-39</v>
      </c>
      <c r="Y20">
        <v>-4.382022471910112</v>
      </c>
      <c r="Z20">
        <v>18665.5</v>
      </c>
    </row>
    <row r="21" spans="1:26" x14ac:dyDescent="0.25">
      <c r="A21">
        <v>17950</v>
      </c>
      <c r="B21" t="s">
        <v>48</v>
      </c>
      <c r="C21">
        <v>17950</v>
      </c>
      <c r="D21" t="s">
        <v>48</v>
      </c>
      <c r="E21" t="s">
        <v>24</v>
      </c>
      <c r="F21">
        <v>246</v>
      </c>
      <c r="G21">
        <v>132</v>
      </c>
      <c r="H21">
        <v>115.78947368421052</v>
      </c>
      <c r="I21">
        <v>1547</v>
      </c>
      <c r="J21">
        <v>12.78</v>
      </c>
      <c r="K21">
        <v>6.8</v>
      </c>
      <c r="L21">
        <v>-1.1500000000000004</v>
      </c>
      <c r="M21">
        <v>-14.465408805031451</v>
      </c>
      <c r="N21">
        <v>18665.5</v>
      </c>
      <c r="O21">
        <v>17950</v>
      </c>
      <c r="P21" t="s">
        <v>48</v>
      </c>
      <c r="Q21" t="s">
        <v>24</v>
      </c>
      <c r="R21">
        <v>6</v>
      </c>
      <c r="S21">
        <v>4</v>
      </c>
      <c r="T21">
        <v>200</v>
      </c>
      <c r="U21">
        <v>30</v>
      </c>
      <c r="V21">
        <v>0</v>
      </c>
      <c r="W21">
        <v>776.75</v>
      </c>
      <c r="X21">
        <v>-71.049999999999955</v>
      </c>
      <c r="Y21">
        <v>-8.3805142722340129</v>
      </c>
      <c r="Z21">
        <v>18665.5</v>
      </c>
    </row>
    <row r="22" spans="1:26" x14ac:dyDescent="0.25">
      <c r="A22">
        <v>18000</v>
      </c>
      <c r="B22" t="s">
        <v>48</v>
      </c>
      <c r="C22">
        <v>18000</v>
      </c>
      <c r="D22" t="s">
        <v>48</v>
      </c>
      <c r="E22" t="s">
        <v>24</v>
      </c>
      <c r="F22">
        <v>4764</v>
      </c>
      <c r="G22">
        <v>1770</v>
      </c>
      <c r="H22">
        <v>59.118236472945888</v>
      </c>
      <c r="I22">
        <v>24323</v>
      </c>
      <c r="J22">
        <v>12.46</v>
      </c>
      <c r="K22">
        <v>8.15</v>
      </c>
      <c r="L22">
        <v>-0.19999999999999929</v>
      </c>
      <c r="M22">
        <v>-2.3952095808383147</v>
      </c>
      <c r="N22">
        <v>18665.5</v>
      </c>
      <c r="O22">
        <v>18000</v>
      </c>
      <c r="P22" t="s">
        <v>48</v>
      </c>
      <c r="Q22" t="s">
        <v>24</v>
      </c>
      <c r="R22">
        <v>147</v>
      </c>
      <c r="S22">
        <v>106</v>
      </c>
      <c r="T22">
        <v>258.53658536585368</v>
      </c>
      <c r="U22">
        <v>187</v>
      </c>
      <c r="V22">
        <v>10.31</v>
      </c>
      <c r="W22">
        <v>732.15</v>
      </c>
      <c r="X22">
        <v>-121.20000000000005</v>
      </c>
      <c r="Y22">
        <v>-14.202847600632806</v>
      </c>
      <c r="Z22">
        <v>18665.5</v>
      </c>
    </row>
    <row r="23" spans="1:26" x14ac:dyDescent="0.25">
      <c r="A23">
        <v>18050</v>
      </c>
      <c r="B23" t="s">
        <v>48</v>
      </c>
      <c r="C23">
        <v>18050</v>
      </c>
      <c r="D23" t="s">
        <v>48</v>
      </c>
      <c r="E23" t="s">
        <v>24</v>
      </c>
      <c r="F23">
        <v>524</v>
      </c>
      <c r="G23">
        <v>304</v>
      </c>
      <c r="H23">
        <v>138.18181818181819</v>
      </c>
      <c r="I23">
        <v>3825</v>
      </c>
      <c r="J23">
        <v>12.06</v>
      </c>
      <c r="K23">
        <v>9.3000000000000007</v>
      </c>
      <c r="L23">
        <v>0.35000000000000142</v>
      </c>
      <c r="M23">
        <v>3.9106145251396809</v>
      </c>
      <c r="N23">
        <v>18665.5</v>
      </c>
      <c r="O23">
        <v>18050</v>
      </c>
      <c r="P23" t="s">
        <v>48</v>
      </c>
      <c r="Q23" t="s">
        <v>24</v>
      </c>
      <c r="R23">
        <v>13</v>
      </c>
      <c r="S23">
        <v>13</v>
      </c>
      <c r="T23">
        <v>0</v>
      </c>
      <c r="U23">
        <v>14</v>
      </c>
      <c r="V23">
        <v>14.01</v>
      </c>
      <c r="W23">
        <v>697.3</v>
      </c>
      <c r="X23">
        <v>-37.400000000000091</v>
      </c>
      <c r="Y23">
        <v>-5.0905131346127792</v>
      </c>
      <c r="Z23">
        <v>18665.5</v>
      </c>
    </row>
    <row r="24" spans="1:26" x14ac:dyDescent="0.25">
      <c r="A24">
        <v>18100</v>
      </c>
      <c r="B24" t="s">
        <v>48</v>
      </c>
      <c r="C24">
        <v>18100</v>
      </c>
      <c r="D24" t="s">
        <v>48</v>
      </c>
      <c r="E24" t="s">
        <v>24</v>
      </c>
      <c r="F24">
        <v>3395</v>
      </c>
      <c r="G24">
        <v>2145</v>
      </c>
      <c r="H24">
        <v>171.6</v>
      </c>
      <c r="I24">
        <v>14817</v>
      </c>
      <c r="J24">
        <v>11.97</v>
      </c>
      <c r="K24">
        <v>11.6</v>
      </c>
      <c r="L24">
        <v>1.25</v>
      </c>
      <c r="M24">
        <v>12.07729468599034</v>
      </c>
      <c r="N24">
        <v>18665.5</v>
      </c>
      <c r="O24">
        <v>18100</v>
      </c>
      <c r="P24" t="s">
        <v>48</v>
      </c>
      <c r="Q24" t="s">
        <v>24</v>
      </c>
      <c r="R24">
        <v>105</v>
      </c>
      <c r="S24">
        <v>2</v>
      </c>
      <c r="T24">
        <v>1.941747572815534</v>
      </c>
      <c r="U24">
        <v>17</v>
      </c>
      <c r="V24">
        <v>11.65</v>
      </c>
      <c r="W24">
        <v>640.1</v>
      </c>
      <c r="X24">
        <v>-122</v>
      </c>
      <c r="Y24">
        <v>-16.008397848051438</v>
      </c>
      <c r="Z24">
        <v>18665.5</v>
      </c>
    </row>
    <row r="25" spans="1:26" x14ac:dyDescent="0.25">
      <c r="A25">
        <v>18150</v>
      </c>
      <c r="B25" t="s">
        <v>48</v>
      </c>
      <c r="C25">
        <v>18150</v>
      </c>
      <c r="D25" t="s">
        <v>48</v>
      </c>
      <c r="E25" t="s">
        <v>24</v>
      </c>
      <c r="F25">
        <v>331</v>
      </c>
      <c r="G25">
        <v>331</v>
      </c>
      <c r="H25">
        <v>0</v>
      </c>
      <c r="I25">
        <v>3390</v>
      </c>
      <c r="J25">
        <v>11.42</v>
      </c>
      <c r="K25">
        <v>12.65</v>
      </c>
      <c r="L25">
        <v>-192.05</v>
      </c>
      <c r="M25">
        <v>-93.82022471910112</v>
      </c>
      <c r="N25">
        <v>18665.5</v>
      </c>
      <c r="O25">
        <v>18150</v>
      </c>
      <c r="P25" t="s">
        <v>48</v>
      </c>
      <c r="Q25" t="s">
        <v>24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18665.5</v>
      </c>
    </row>
    <row r="26" spans="1:26" x14ac:dyDescent="0.25">
      <c r="A26">
        <v>18200</v>
      </c>
      <c r="B26" t="s">
        <v>48</v>
      </c>
      <c r="C26">
        <v>18200</v>
      </c>
      <c r="D26" t="s">
        <v>48</v>
      </c>
      <c r="E26" t="s">
        <v>24</v>
      </c>
      <c r="F26">
        <v>7616</v>
      </c>
      <c r="G26">
        <v>3677</v>
      </c>
      <c r="H26">
        <v>93.348565625793356</v>
      </c>
      <c r="I26">
        <v>30631</v>
      </c>
      <c r="J26">
        <v>11.17</v>
      </c>
      <c r="K26">
        <v>15.25</v>
      </c>
      <c r="L26">
        <v>1.6500000000000004</v>
      </c>
      <c r="M26">
        <v>12.132352941176473</v>
      </c>
      <c r="N26">
        <v>18665.5</v>
      </c>
      <c r="O26">
        <v>18200</v>
      </c>
      <c r="P26" t="s">
        <v>48</v>
      </c>
      <c r="Q26" t="s">
        <v>24</v>
      </c>
      <c r="R26">
        <v>73</v>
      </c>
      <c r="S26">
        <v>53</v>
      </c>
      <c r="T26">
        <v>265</v>
      </c>
      <c r="U26">
        <v>252</v>
      </c>
      <c r="V26">
        <v>11.53</v>
      </c>
      <c r="W26">
        <v>547.5</v>
      </c>
      <c r="X26">
        <v>-118.75</v>
      </c>
      <c r="Y26">
        <v>-17.823639774859288</v>
      </c>
      <c r="Z26">
        <v>18665.5</v>
      </c>
    </row>
    <row r="27" spans="1:26" x14ac:dyDescent="0.25">
      <c r="A27">
        <v>18250</v>
      </c>
      <c r="B27" t="s">
        <v>48</v>
      </c>
      <c r="C27">
        <v>18250</v>
      </c>
      <c r="D27" t="s">
        <v>48</v>
      </c>
      <c r="E27" t="s">
        <v>24</v>
      </c>
      <c r="F27">
        <v>1614</v>
      </c>
      <c r="G27">
        <v>1612</v>
      </c>
      <c r="H27">
        <v>80600</v>
      </c>
      <c r="I27">
        <v>10760</v>
      </c>
      <c r="J27">
        <v>10.85</v>
      </c>
      <c r="K27">
        <v>18.25</v>
      </c>
      <c r="L27">
        <v>-59.7</v>
      </c>
      <c r="M27">
        <v>-76.587556125721619</v>
      </c>
      <c r="N27">
        <v>18665.5</v>
      </c>
      <c r="O27">
        <v>18250</v>
      </c>
      <c r="P27" t="s">
        <v>48</v>
      </c>
      <c r="Q27" t="s">
        <v>24</v>
      </c>
      <c r="R27">
        <v>14</v>
      </c>
      <c r="S27">
        <v>1</v>
      </c>
      <c r="T27">
        <v>7.6923076923076925</v>
      </c>
      <c r="U27">
        <v>40</v>
      </c>
      <c r="V27">
        <v>11.52</v>
      </c>
      <c r="W27">
        <v>502.9</v>
      </c>
      <c r="X27">
        <v>-127.10000000000002</v>
      </c>
      <c r="Y27">
        <v>-20.174603174603178</v>
      </c>
      <c r="Z27">
        <v>18665.5</v>
      </c>
    </row>
    <row r="28" spans="1:26" x14ac:dyDescent="0.25">
      <c r="A28">
        <v>18300</v>
      </c>
      <c r="B28" t="s">
        <v>48</v>
      </c>
      <c r="C28">
        <v>18300</v>
      </c>
      <c r="D28" t="s">
        <v>48</v>
      </c>
      <c r="E28" t="s">
        <v>24</v>
      </c>
      <c r="F28">
        <v>10777</v>
      </c>
      <c r="G28">
        <v>5300</v>
      </c>
      <c r="H28">
        <v>96.768303815957637</v>
      </c>
      <c r="I28">
        <v>41132</v>
      </c>
      <c r="J28">
        <v>10.65</v>
      </c>
      <c r="K28">
        <v>22.45</v>
      </c>
      <c r="L28">
        <v>3.8999999999999986</v>
      </c>
      <c r="M28">
        <v>21.024258760107809</v>
      </c>
      <c r="N28">
        <v>18665.5</v>
      </c>
      <c r="O28">
        <v>18300</v>
      </c>
      <c r="P28" t="s">
        <v>48</v>
      </c>
      <c r="Q28" t="s">
        <v>24</v>
      </c>
      <c r="R28">
        <v>207</v>
      </c>
      <c r="S28">
        <v>85</v>
      </c>
      <c r="T28">
        <v>69.672131147540981</v>
      </c>
      <c r="U28">
        <v>351</v>
      </c>
      <c r="V28">
        <v>10.73</v>
      </c>
      <c r="W28">
        <v>453.65</v>
      </c>
      <c r="X28">
        <v>-118.45000000000005</v>
      </c>
      <c r="Y28">
        <v>-20.704422303793049</v>
      </c>
      <c r="Z28">
        <v>18665.5</v>
      </c>
    </row>
    <row r="29" spans="1:26" x14ac:dyDescent="0.25">
      <c r="A29">
        <v>18350</v>
      </c>
      <c r="B29" t="s">
        <v>48</v>
      </c>
      <c r="C29">
        <v>18350</v>
      </c>
      <c r="D29" t="s">
        <v>48</v>
      </c>
      <c r="E29" t="s">
        <v>24</v>
      </c>
      <c r="F29">
        <v>3185</v>
      </c>
      <c r="G29">
        <v>911</v>
      </c>
      <c r="H29">
        <v>40.061565523306946</v>
      </c>
      <c r="I29">
        <v>17179</v>
      </c>
      <c r="J29">
        <v>10.42</v>
      </c>
      <c r="K29">
        <v>27.6</v>
      </c>
      <c r="L29">
        <v>5.6500000000000021</v>
      </c>
      <c r="M29">
        <v>25.740318906605935</v>
      </c>
      <c r="N29">
        <v>18665.5</v>
      </c>
      <c r="O29">
        <v>18350</v>
      </c>
      <c r="P29" t="s">
        <v>48</v>
      </c>
      <c r="Q29" t="s">
        <v>24</v>
      </c>
      <c r="R29">
        <v>17</v>
      </c>
      <c r="S29">
        <v>11</v>
      </c>
      <c r="T29">
        <v>183.33333333333337</v>
      </c>
      <c r="U29">
        <v>52</v>
      </c>
      <c r="V29">
        <v>12.48</v>
      </c>
      <c r="W29">
        <v>426.45</v>
      </c>
      <c r="X29">
        <v>-125.75000000000006</v>
      </c>
      <c r="Y29">
        <v>-22.772546178920688</v>
      </c>
      <c r="Z29">
        <v>18665.5</v>
      </c>
    </row>
    <row r="30" spans="1:26" x14ac:dyDescent="0.25">
      <c r="A30">
        <v>18400</v>
      </c>
      <c r="B30" t="s">
        <v>48</v>
      </c>
      <c r="C30">
        <v>18400</v>
      </c>
      <c r="D30" t="s">
        <v>48</v>
      </c>
      <c r="E30" t="s">
        <v>24</v>
      </c>
      <c r="F30">
        <v>8744</v>
      </c>
      <c r="G30">
        <v>1946</v>
      </c>
      <c r="H30">
        <v>28.626066490144161</v>
      </c>
      <c r="I30">
        <v>37514</v>
      </c>
      <c r="J30">
        <v>10.27</v>
      </c>
      <c r="K30">
        <v>34.75</v>
      </c>
      <c r="L30">
        <v>7.6499999999999986</v>
      </c>
      <c r="M30">
        <v>28.22878228782287</v>
      </c>
      <c r="N30">
        <v>18665.5</v>
      </c>
      <c r="O30">
        <v>18400</v>
      </c>
      <c r="P30" t="s">
        <v>48</v>
      </c>
      <c r="Q30" t="s">
        <v>24</v>
      </c>
      <c r="R30">
        <v>286</v>
      </c>
      <c r="S30">
        <v>162</v>
      </c>
      <c r="T30">
        <v>130.64516129032259</v>
      </c>
      <c r="U30">
        <v>1141</v>
      </c>
      <c r="V30">
        <v>10.11</v>
      </c>
      <c r="W30">
        <v>364</v>
      </c>
      <c r="X30">
        <v>-116.8</v>
      </c>
      <c r="Y30">
        <v>-24.292845257903497</v>
      </c>
      <c r="Z30">
        <v>18665.5</v>
      </c>
    </row>
    <row r="31" spans="1:26" x14ac:dyDescent="0.25">
      <c r="A31">
        <v>18450</v>
      </c>
      <c r="B31" t="s">
        <v>48</v>
      </c>
      <c r="C31">
        <v>18450</v>
      </c>
      <c r="D31" t="s">
        <v>48</v>
      </c>
      <c r="E31" t="s">
        <v>24</v>
      </c>
      <c r="F31">
        <v>4107</v>
      </c>
      <c r="G31">
        <v>2787</v>
      </c>
      <c r="H31">
        <v>211.13636363636363</v>
      </c>
      <c r="I31">
        <v>19361</v>
      </c>
      <c r="J31">
        <v>10.08</v>
      </c>
      <c r="K31">
        <v>42.55</v>
      </c>
      <c r="L31">
        <v>10.349999999999994</v>
      </c>
      <c r="M31">
        <v>32.142857142857125</v>
      </c>
      <c r="N31">
        <v>18665.5</v>
      </c>
      <c r="O31">
        <v>18450</v>
      </c>
      <c r="P31" t="s">
        <v>48</v>
      </c>
      <c r="Q31" t="s">
        <v>24</v>
      </c>
      <c r="R31">
        <v>91</v>
      </c>
      <c r="S31">
        <v>88</v>
      </c>
      <c r="T31">
        <v>2933.3333333333335</v>
      </c>
      <c r="U31">
        <v>246</v>
      </c>
      <c r="V31">
        <v>10.25</v>
      </c>
      <c r="W31">
        <v>325.39999999999998</v>
      </c>
      <c r="X31">
        <v>-177.60000000000002</v>
      </c>
      <c r="Y31">
        <v>-35.308151093439363</v>
      </c>
      <c r="Z31">
        <v>18665.5</v>
      </c>
    </row>
    <row r="32" spans="1:26" x14ac:dyDescent="0.25">
      <c r="A32">
        <v>18500</v>
      </c>
      <c r="B32" t="s">
        <v>48</v>
      </c>
      <c r="C32">
        <v>18500</v>
      </c>
      <c r="D32" t="s">
        <v>48</v>
      </c>
      <c r="E32" t="s">
        <v>24</v>
      </c>
      <c r="F32">
        <v>15422</v>
      </c>
      <c r="G32">
        <v>5846</v>
      </c>
      <c r="H32">
        <v>61.048454469507099</v>
      </c>
      <c r="I32">
        <v>91720</v>
      </c>
      <c r="J32">
        <v>9.98</v>
      </c>
      <c r="K32">
        <v>53.2</v>
      </c>
      <c r="L32">
        <v>14.050000000000004</v>
      </c>
      <c r="M32">
        <v>35.887611749680723</v>
      </c>
      <c r="N32">
        <v>18665.5</v>
      </c>
      <c r="O32">
        <v>18500</v>
      </c>
      <c r="P32" t="s">
        <v>48</v>
      </c>
      <c r="Q32" t="s">
        <v>24</v>
      </c>
      <c r="R32">
        <v>3949</v>
      </c>
      <c r="S32">
        <v>1607</v>
      </c>
      <c r="T32">
        <v>68.616567036720753</v>
      </c>
      <c r="U32">
        <v>8367</v>
      </c>
      <c r="V32">
        <v>9.7799999999999994</v>
      </c>
      <c r="W32">
        <v>282.25</v>
      </c>
      <c r="X32">
        <v>-110.45</v>
      </c>
      <c r="Y32">
        <v>-28.125795772854595</v>
      </c>
      <c r="Z32">
        <v>18665.5</v>
      </c>
    </row>
    <row r="33" spans="1:26" x14ac:dyDescent="0.25">
      <c r="A33">
        <v>18550</v>
      </c>
      <c r="B33" t="s">
        <v>48</v>
      </c>
      <c r="C33">
        <v>18550</v>
      </c>
      <c r="D33" t="s">
        <v>48</v>
      </c>
      <c r="E33" t="s">
        <v>24</v>
      </c>
      <c r="F33">
        <v>2109</v>
      </c>
      <c r="G33">
        <v>367</v>
      </c>
      <c r="H33">
        <v>21.067738231917335</v>
      </c>
      <c r="I33">
        <v>30541</v>
      </c>
      <c r="J33">
        <v>9.7200000000000006</v>
      </c>
      <c r="K33">
        <v>65</v>
      </c>
      <c r="L33">
        <v>17.950000000000003</v>
      </c>
      <c r="M33">
        <v>38.150903294367701</v>
      </c>
      <c r="N33">
        <v>18665.5</v>
      </c>
      <c r="O33">
        <v>18550</v>
      </c>
      <c r="P33" t="s">
        <v>48</v>
      </c>
      <c r="Q33" t="s">
        <v>24</v>
      </c>
      <c r="R33">
        <v>403</v>
      </c>
      <c r="S33">
        <v>90</v>
      </c>
      <c r="T33">
        <v>28.753993610223642</v>
      </c>
      <c r="U33">
        <v>1999</v>
      </c>
      <c r="V33">
        <v>9.68</v>
      </c>
      <c r="W33">
        <v>246.75</v>
      </c>
      <c r="X33">
        <v>-108.8</v>
      </c>
      <c r="Y33">
        <v>-30.600478132470819</v>
      </c>
      <c r="Z33">
        <v>18665.5</v>
      </c>
    </row>
    <row r="34" spans="1:26" x14ac:dyDescent="0.25">
      <c r="A34">
        <v>18600</v>
      </c>
      <c r="B34" t="s">
        <v>48</v>
      </c>
      <c r="C34">
        <v>18600</v>
      </c>
      <c r="D34" t="s">
        <v>48</v>
      </c>
      <c r="E34" t="s">
        <v>24</v>
      </c>
      <c r="F34">
        <v>10681</v>
      </c>
      <c r="G34">
        <v>-603</v>
      </c>
      <c r="H34">
        <v>-5.3438496986884081</v>
      </c>
      <c r="I34">
        <v>130914</v>
      </c>
      <c r="J34">
        <v>9.67</v>
      </c>
      <c r="K34">
        <v>79.55</v>
      </c>
      <c r="L34">
        <v>22.65</v>
      </c>
      <c r="M34">
        <v>39.806678383128293</v>
      </c>
      <c r="N34">
        <v>18665.5</v>
      </c>
      <c r="O34">
        <v>18600</v>
      </c>
      <c r="P34" t="s">
        <v>48</v>
      </c>
      <c r="Q34" t="s">
        <v>24</v>
      </c>
      <c r="R34">
        <v>3567</v>
      </c>
      <c r="S34">
        <v>3006</v>
      </c>
      <c r="T34">
        <v>535.82887700534764</v>
      </c>
      <c r="U34">
        <v>40554</v>
      </c>
      <c r="V34">
        <v>9.5399999999999991</v>
      </c>
      <c r="W34">
        <v>210.3</v>
      </c>
      <c r="X34">
        <v>-105.09999999999997</v>
      </c>
      <c r="Y34">
        <v>-33.322764743183257</v>
      </c>
      <c r="Z34">
        <v>18665.5</v>
      </c>
    </row>
    <row r="35" spans="1:26" x14ac:dyDescent="0.25">
      <c r="A35">
        <v>18650</v>
      </c>
      <c r="B35" t="s">
        <v>48</v>
      </c>
      <c r="C35">
        <v>18650</v>
      </c>
      <c r="D35" t="s">
        <v>48</v>
      </c>
      <c r="E35" t="s">
        <v>24</v>
      </c>
      <c r="F35">
        <v>2270</v>
      </c>
      <c r="G35">
        <v>1153</v>
      </c>
      <c r="H35">
        <v>103.22291853178156</v>
      </c>
      <c r="I35">
        <v>68242</v>
      </c>
      <c r="J35">
        <v>9.59</v>
      </c>
      <c r="K35">
        <v>97.5</v>
      </c>
      <c r="L35">
        <v>28.700000000000003</v>
      </c>
      <c r="M35">
        <v>41.715116279069775</v>
      </c>
      <c r="N35">
        <v>18665.5</v>
      </c>
      <c r="O35">
        <v>18650</v>
      </c>
      <c r="P35" t="s">
        <v>48</v>
      </c>
      <c r="Q35" t="s">
        <v>24</v>
      </c>
      <c r="R35">
        <v>2351</v>
      </c>
      <c r="S35">
        <v>2136</v>
      </c>
      <c r="T35">
        <v>993.48837209302314</v>
      </c>
      <c r="U35">
        <v>24739</v>
      </c>
      <c r="V35">
        <v>9.43</v>
      </c>
      <c r="W35">
        <v>177.1</v>
      </c>
      <c r="X35">
        <v>-98.549999999999983</v>
      </c>
      <c r="Y35">
        <v>-35.751859241792125</v>
      </c>
      <c r="Z35">
        <v>18665.5</v>
      </c>
    </row>
    <row r="36" spans="1:26" x14ac:dyDescent="0.25">
      <c r="A36">
        <v>18700</v>
      </c>
      <c r="B36" t="s">
        <v>48</v>
      </c>
      <c r="C36">
        <v>18700</v>
      </c>
      <c r="D36" t="s">
        <v>48</v>
      </c>
      <c r="E36" t="s">
        <v>24</v>
      </c>
      <c r="F36">
        <v>11945</v>
      </c>
      <c r="G36">
        <v>4164</v>
      </c>
      <c r="H36">
        <v>53.514972368590158</v>
      </c>
      <c r="I36">
        <v>220585</v>
      </c>
      <c r="J36">
        <v>9.44</v>
      </c>
      <c r="K36">
        <v>114.8</v>
      </c>
      <c r="L36">
        <v>33.099999999999994</v>
      </c>
      <c r="M36">
        <v>40.514075887392892</v>
      </c>
      <c r="N36">
        <v>18665.5</v>
      </c>
      <c r="O36">
        <v>18700</v>
      </c>
      <c r="P36" t="s">
        <v>48</v>
      </c>
      <c r="Q36" t="s">
        <v>24</v>
      </c>
      <c r="R36">
        <v>9475</v>
      </c>
      <c r="S36">
        <v>7351</v>
      </c>
      <c r="T36">
        <v>346.09227871939737</v>
      </c>
      <c r="U36">
        <v>131618</v>
      </c>
      <c r="V36">
        <v>9.36</v>
      </c>
      <c r="W36">
        <v>148</v>
      </c>
      <c r="X36">
        <v>-92.15</v>
      </c>
      <c r="Y36">
        <v>-38.371850926504273</v>
      </c>
      <c r="Z36">
        <v>18665.5</v>
      </c>
    </row>
    <row r="37" spans="1:26" x14ac:dyDescent="0.25">
      <c r="A37">
        <v>18750</v>
      </c>
      <c r="B37" t="s">
        <v>48</v>
      </c>
      <c r="C37">
        <v>18750</v>
      </c>
      <c r="D37" t="s">
        <v>48</v>
      </c>
      <c r="E37" t="s">
        <v>24</v>
      </c>
      <c r="F37">
        <v>4259</v>
      </c>
      <c r="G37">
        <v>2485</v>
      </c>
      <c r="H37">
        <v>140.07891770011273</v>
      </c>
      <c r="I37">
        <v>60472</v>
      </c>
      <c r="J37">
        <v>9.31</v>
      </c>
      <c r="K37">
        <v>140</v>
      </c>
      <c r="L37">
        <v>41.2</v>
      </c>
      <c r="M37">
        <v>41.700404858299599</v>
      </c>
      <c r="N37">
        <v>18665.5</v>
      </c>
      <c r="O37">
        <v>18750</v>
      </c>
      <c r="P37" t="s">
        <v>48</v>
      </c>
      <c r="Q37" t="s">
        <v>24</v>
      </c>
      <c r="R37">
        <v>5324</v>
      </c>
      <c r="S37">
        <v>4070</v>
      </c>
      <c r="T37">
        <v>324.56140350877195</v>
      </c>
      <c r="U37">
        <v>59460</v>
      </c>
      <c r="V37">
        <v>9.3000000000000007</v>
      </c>
      <c r="W37">
        <v>121.45</v>
      </c>
      <c r="X37">
        <v>-85.899999999999991</v>
      </c>
      <c r="Y37">
        <v>-41.427537979262112</v>
      </c>
      <c r="Z37">
        <v>18665.5</v>
      </c>
    </row>
    <row r="38" spans="1:26" x14ac:dyDescent="0.25">
      <c r="A38">
        <v>18800</v>
      </c>
      <c r="B38" t="s">
        <v>48</v>
      </c>
      <c r="C38">
        <v>18800</v>
      </c>
      <c r="D38" t="s">
        <v>48</v>
      </c>
      <c r="E38" t="s">
        <v>24</v>
      </c>
      <c r="F38">
        <v>7487</v>
      </c>
      <c r="G38">
        <v>-771</v>
      </c>
      <c r="H38">
        <v>-9.3364010656333232</v>
      </c>
      <c r="I38">
        <v>81254</v>
      </c>
      <c r="J38">
        <v>9.26</v>
      </c>
      <c r="K38">
        <v>167</v>
      </c>
      <c r="L38">
        <v>49.849999999999994</v>
      </c>
      <c r="M38">
        <v>42.552283397353811</v>
      </c>
      <c r="N38">
        <v>18665.5</v>
      </c>
      <c r="O38">
        <v>18800</v>
      </c>
      <c r="P38" t="s">
        <v>48</v>
      </c>
      <c r="Q38" t="s">
        <v>24</v>
      </c>
      <c r="R38">
        <v>13273</v>
      </c>
      <c r="S38">
        <v>7216</v>
      </c>
      <c r="T38">
        <v>119.13488525672776</v>
      </c>
      <c r="U38">
        <v>123589</v>
      </c>
      <c r="V38">
        <v>9.14</v>
      </c>
      <c r="W38">
        <v>97</v>
      </c>
      <c r="X38">
        <v>-78.150000000000006</v>
      </c>
      <c r="Y38">
        <v>-44.618898087353699</v>
      </c>
      <c r="Z38">
        <v>18665.5</v>
      </c>
    </row>
    <row r="39" spans="1:26" x14ac:dyDescent="0.25">
      <c r="A39">
        <v>18850</v>
      </c>
      <c r="B39" t="s">
        <v>48</v>
      </c>
      <c r="C39">
        <v>18850</v>
      </c>
      <c r="D39" t="s">
        <v>48</v>
      </c>
      <c r="E39" t="s">
        <v>24</v>
      </c>
      <c r="F39">
        <v>1131</v>
      </c>
      <c r="G39">
        <v>-381</v>
      </c>
      <c r="H39">
        <v>-25.198412698412699</v>
      </c>
      <c r="I39">
        <v>13447</v>
      </c>
      <c r="J39">
        <v>9.1300000000000008</v>
      </c>
      <c r="K39">
        <v>195.85</v>
      </c>
      <c r="L39">
        <v>56.299999999999983</v>
      </c>
      <c r="M39">
        <v>40.343962737370106</v>
      </c>
      <c r="N39">
        <v>18665.5</v>
      </c>
      <c r="O39">
        <v>18850</v>
      </c>
      <c r="P39" t="s">
        <v>48</v>
      </c>
      <c r="Q39" t="s">
        <v>24</v>
      </c>
      <c r="R39">
        <v>4996</v>
      </c>
      <c r="S39">
        <v>2962</v>
      </c>
      <c r="T39">
        <v>145.6243854473943</v>
      </c>
      <c r="U39">
        <v>38724</v>
      </c>
      <c r="V39">
        <v>9.02</v>
      </c>
      <c r="W39">
        <v>77.95</v>
      </c>
      <c r="X39">
        <v>-68.350000000000009</v>
      </c>
      <c r="Y39">
        <v>-46.719070403280931</v>
      </c>
      <c r="Z39">
        <v>18665.5</v>
      </c>
    </row>
    <row r="40" spans="1:26" x14ac:dyDescent="0.25">
      <c r="A40">
        <v>18900</v>
      </c>
      <c r="B40" t="s">
        <v>48</v>
      </c>
      <c r="C40">
        <v>18900</v>
      </c>
      <c r="D40" t="s">
        <v>48</v>
      </c>
      <c r="E40" t="s">
        <v>24</v>
      </c>
      <c r="F40">
        <v>2441</v>
      </c>
      <c r="G40">
        <v>-550</v>
      </c>
      <c r="H40">
        <v>-18.388498829822801</v>
      </c>
      <c r="I40">
        <v>21596</v>
      </c>
      <c r="J40">
        <v>9.01</v>
      </c>
      <c r="K40">
        <v>227.9</v>
      </c>
      <c r="L40">
        <v>65.700000000000017</v>
      </c>
      <c r="M40">
        <v>40.505548705302111</v>
      </c>
      <c r="N40">
        <v>18665.5</v>
      </c>
      <c r="O40">
        <v>18900</v>
      </c>
      <c r="P40" t="s">
        <v>48</v>
      </c>
      <c r="Q40" t="s">
        <v>24</v>
      </c>
      <c r="R40">
        <v>9850</v>
      </c>
      <c r="S40">
        <v>4463</v>
      </c>
      <c r="T40">
        <v>82.847596064599969</v>
      </c>
      <c r="U40">
        <v>58664</v>
      </c>
      <c r="V40">
        <v>8.9</v>
      </c>
      <c r="W40">
        <v>59.3</v>
      </c>
      <c r="X40">
        <v>-61.3</v>
      </c>
      <c r="Y40">
        <v>-50.829187396351571</v>
      </c>
      <c r="Z40">
        <v>18665.5</v>
      </c>
    </row>
    <row r="41" spans="1:26" x14ac:dyDescent="0.25">
      <c r="A41">
        <v>18950</v>
      </c>
      <c r="B41" t="s">
        <v>48</v>
      </c>
      <c r="C41">
        <v>18950</v>
      </c>
      <c r="D41" t="s">
        <v>48</v>
      </c>
      <c r="E41" t="s">
        <v>24</v>
      </c>
      <c r="F41">
        <v>252</v>
      </c>
      <c r="G41">
        <v>-38</v>
      </c>
      <c r="H41">
        <v>-13.103448275862069</v>
      </c>
      <c r="I41">
        <v>1741</v>
      </c>
      <c r="J41">
        <v>9.1</v>
      </c>
      <c r="K41">
        <v>265.25</v>
      </c>
      <c r="L41">
        <v>74.949999999999989</v>
      </c>
      <c r="M41">
        <v>39.385181292695734</v>
      </c>
      <c r="N41">
        <v>18665.5</v>
      </c>
      <c r="O41">
        <v>18950</v>
      </c>
      <c r="P41" t="s">
        <v>48</v>
      </c>
      <c r="Q41" t="s">
        <v>24</v>
      </c>
      <c r="R41">
        <v>2633</v>
      </c>
      <c r="S41">
        <v>1585</v>
      </c>
      <c r="T41">
        <v>151.24045801526717</v>
      </c>
      <c r="U41">
        <v>25975</v>
      </c>
      <c r="V41">
        <v>8.91</v>
      </c>
      <c r="W41">
        <v>45.6</v>
      </c>
      <c r="X41">
        <v>-52.05</v>
      </c>
      <c r="Y41">
        <v>-53.302611367127497</v>
      </c>
      <c r="Z41">
        <v>18665.5</v>
      </c>
    </row>
    <row r="42" spans="1:26" x14ac:dyDescent="0.25">
      <c r="A42">
        <v>19000</v>
      </c>
      <c r="B42" t="s">
        <v>48</v>
      </c>
      <c r="C42">
        <v>19000</v>
      </c>
      <c r="D42" t="s">
        <v>48</v>
      </c>
      <c r="E42" t="s">
        <v>24</v>
      </c>
      <c r="F42">
        <v>3746</v>
      </c>
      <c r="G42">
        <v>358</v>
      </c>
      <c r="H42">
        <v>10.566706021251475</v>
      </c>
      <c r="I42">
        <v>12638</v>
      </c>
      <c r="J42">
        <v>8.98</v>
      </c>
      <c r="K42">
        <v>302.75</v>
      </c>
      <c r="L42">
        <v>83.4</v>
      </c>
      <c r="M42">
        <v>38.021426943241401</v>
      </c>
      <c r="N42">
        <v>18665.5</v>
      </c>
      <c r="O42">
        <v>19000</v>
      </c>
      <c r="P42" t="s">
        <v>48</v>
      </c>
      <c r="Q42" t="s">
        <v>24</v>
      </c>
      <c r="R42">
        <v>19189</v>
      </c>
      <c r="S42">
        <v>5056</v>
      </c>
      <c r="T42">
        <v>35.774428642184958</v>
      </c>
      <c r="U42">
        <v>88372</v>
      </c>
      <c r="V42">
        <v>8.8800000000000008</v>
      </c>
      <c r="W42">
        <v>35.25</v>
      </c>
      <c r="X42">
        <v>-42.25</v>
      </c>
      <c r="Y42">
        <v>-54.516129032258064</v>
      </c>
      <c r="Z42">
        <v>18665.5</v>
      </c>
    </row>
    <row r="43" spans="1:26" x14ac:dyDescent="0.25">
      <c r="A43">
        <v>19050</v>
      </c>
      <c r="B43" t="s">
        <v>48</v>
      </c>
      <c r="C43">
        <v>19050</v>
      </c>
      <c r="D43" t="s">
        <v>48</v>
      </c>
      <c r="E43" t="s">
        <v>24</v>
      </c>
      <c r="F43">
        <v>254</v>
      </c>
      <c r="G43">
        <v>117</v>
      </c>
      <c r="H43">
        <v>85.401459854014604</v>
      </c>
      <c r="I43">
        <v>487</v>
      </c>
      <c r="J43">
        <v>9.1199999999999992</v>
      </c>
      <c r="K43">
        <v>344.9</v>
      </c>
      <c r="L43">
        <v>94.049999999999983</v>
      </c>
      <c r="M43">
        <v>37.492525413593775</v>
      </c>
      <c r="N43">
        <v>18665.5</v>
      </c>
      <c r="O43">
        <v>19050</v>
      </c>
      <c r="P43" t="s">
        <v>48</v>
      </c>
      <c r="Q43" t="s">
        <v>24</v>
      </c>
      <c r="R43">
        <v>3072</v>
      </c>
      <c r="S43">
        <v>1154</v>
      </c>
      <c r="T43">
        <v>60.166840458811265</v>
      </c>
      <c r="U43">
        <v>22388</v>
      </c>
      <c r="V43">
        <v>8.94</v>
      </c>
      <c r="W43">
        <v>26.65</v>
      </c>
      <c r="X43">
        <v>-34.15</v>
      </c>
      <c r="Y43">
        <v>-56.167763157894733</v>
      </c>
      <c r="Z43">
        <v>18665.5</v>
      </c>
    </row>
    <row r="44" spans="1:26" x14ac:dyDescent="0.25">
      <c r="A44">
        <v>19100</v>
      </c>
      <c r="B44" t="s">
        <v>48</v>
      </c>
      <c r="C44">
        <v>19100</v>
      </c>
      <c r="D44" t="s">
        <v>48</v>
      </c>
      <c r="E44" t="s">
        <v>24</v>
      </c>
      <c r="F44">
        <v>801</v>
      </c>
      <c r="G44">
        <v>-182</v>
      </c>
      <c r="H44">
        <v>-18.514750762970497</v>
      </c>
      <c r="I44">
        <v>2838</v>
      </c>
      <c r="J44">
        <v>9.18</v>
      </c>
      <c r="K44">
        <v>388</v>
      </c>
      <c r="L44">
        <v>102.45</v>
      </c>
      <c r="M44">
        <v>35.878129924706705</v>
      </c>
      <c r="N44">
        <v>18665.5</v>
      </c>
      <c r="O44">
        <v>19100</v>
      </c>
      <c r="P44" t="s">
        <v>48</v>
      </c>
      <c r="Q44" t="s">
        <v>24</v>
      </c>
      <c r="R44">
        <v>12004</v>
      </c>
      <c r="S44">
        <v>5074</v>
      </c>
      <c r="T44">
        <v>73.21789321789322</v>
      </c>
      <c r="U44">
        <v>52395</v>
      </c>
      <c r="V44">
        <v>8.94</v>
      </c>
      <c r="W44">
        <v>19.7</v>
      </c>
      <c r="X44">
        <v>-26.95</v>
      </c>
      <c r="Y44">
        <v>-57.770632368703112</v>
      </c>
      <c r="Z44">
        <v>18665.5</v>
      </c>
    </row>
    <row r="45" spans="1:26" x14ac:dyDescent="0.25">
      <c r="A45">
        <v>19150</v>
      </c>
      <c r="B45" t="s">
        <v>48</v>
      </c>
      <c r="C45">
        <v>19150</v>
      </c>
      <c r="D45" t="s">
        <v>48</v>
      </c>
      <c r="E45" t="s">
        <v>24</v>
      </c>
      <c r="F45">
        <v>69</v>
      </c>
      <c r="G45">
        <v>4</v>
      </c>
      <c r="H45">
        <v>6.1538461538461542</v>
      </c>
      <c r="I45">
        <v>62</v>
      </c>
      <c r="J45">
        <v>8.86</v>
      </c>
      <c r="K45">
        <v>430.2</v>
      </c>
      <c r="L45">
        <v>99.8</v>
      </c>
      <c r="M45">
        <v>30.205811138014532</v>
      </c>
      <c r="N45">
        <v>18665.5</v>
      </c>
      <c r="O45">
        <v>19150</v>
      </c>
      <c r="P45" t="s">
        <v>48</v>
      </c>
      <c r="Q45" t="s">
        <v>24</v>
      </c>
      <c r="R45">
        <v>2987</v>
      </c>
      <c r="S45">
        <v>964</v>
      </c>
      <c r="T45">
        <v>47.652001977261492</v>
      </c>
      <c r="U45">
        <v>16257</v>
      </c>
      <c r="V45">
        <v>8.99</v>
      </c>
      <c r="W45">
        <v>14.55</v>
      </c>
      <c r="X45">
        <v>-20.8</v>
      </c>
      <c r="Y45">
        <v>-58.84016973125884</v>
      </c>
      <c r="Z45">
        <v>18665.5</v>
      </c>
    </row>
    <row r="46" spans="1:26" x14ac:dyDescent="0.25">
      <c r="A46">
        <v>19200</v>
      </c>
      <c r="B46" t="s">
        <v>48</v>
      </c>
      <c r="C46">
        <v>19200</v>
      </c>
      <c r="D46" t="s">
        <v>48</v>
      </c>
      <c r="E46" t="s">
        <v>24</v>
      </c>
      <c r="F46">
        <v>546</v>
      </c>
      <c r="G46">
        <v>-696</v>
      </c>
      <c r="H46">
        <v>-56.038647342995169</v>
      </c>
      <c r="I46">
        <v>2049</v>
      </c>
      <c r="J46">
        <v>9.49</v>
      </c>
      <c r="K46">
        <v>479.3</v>
      </c>
      <c r="L46">
        <v>110.8</v>
      </c>
      <c r="M46">
        <v>30.067842605156041</v>
      </c>
      <c r="N46">
        <v>18665.5</v>
      </c>
      <c r="O46">
        <v>19200</v>
      </c>
      <c r="P46" t="s">
        <v>48</v>
      </c>
      <c r="Q46" t="s">
        <v>24</v>
      </c>
      <c r="R46">
        <v>10649</v>
      </c>
      <c r="S46">
        <v>-128</v>
      </c>
      <c r="T46">
        <v>-1.1877145773406328</v>
      </c>
      <c r="U46">
        <v>50827</v>
      </c>
      <c r="V46">
        <v>9.17</v>
      </c>
      <c r="W46">
        <v>11.1</v>
      </c>
      <c r="X46">
        <v>-15.85</v>
      </c>
      <c r="Y46">
        <v>-58.812615955473099</v>
      </c>
      <c r="Z46">
        <v>18665.5</v>
      </c>
    </row>
    <row r="47" spans="1:26" x14ac:dyDescent="0.25">
      <c r="A47">
        <v>19250</v>
      </c>
      <c r="B47" t="s">
        <v>48</v>
      </c>
      <c r="C47">
        <v>19250</v>
      </c>
      <c r="D47" t="s">
        <v>48</v>
      </c>
      <c r="E47" t="s">
        <v>24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18665.5</v>
      </c>
      <c r="O47">
        <v>19250</v>
      </c>
      <c r="P47" t="s">
        <v>48</v>
      </c>
      <c r="Q47" t="s">
        <v>24</v>
      </c>
      <c r="R47">
        <v>1533</v>
      </c>
      <c r="S47">
        <v>-147</v>
      </c>
      <c r="T47">
        <v>-8.75</v>
      </c>
      <c r="U47">
        <v>11208</v>
      </c>
      <c r="V47">
        <v>9.44</v>
      </c>
      <c r="W47">
        <v>8.65</v>
      </c>
      <c r="X47">
        <v>-11.15</v>
      </c>
      <c r="Y47">
        <v>-56.313131313131315</v>
      </c>
      <c r="Z47">
        <v>18665.5</v>
      </c>
    </row>
    <row r="48" spans="1:26" x14ac:dyDescent="0.25">
      <c r="A48">
        <v>19300</v>
      </c>
      <c r="B48" t="s">
        <v>48</v>
      </c>
      <c r="C48">
        <v>19300</v>
      </c>
      <c r="D48" t="s">
        <v>48</v>
      </c>
      <c r="E48" t="s">
        <v>24</v>
      </c>
      <c r="F48">
        <v>54</v>
      </c>
      <c r="G48">
        <v>12</v>
      </c>
      <c r="H48">
        <v>28.571428571428573</v>
      </c>
      <c r="I48">
        <v>98</v>
      </c>
      <c r="J48">
        <v>0</v>
      </c>
      <c r="K48">
        <v>564.54999999999995</v>
      </c>
      <c r="L48">
        <v>109.99999999999994</v>
      </c>
      <c r="M48">
        <v>24.199758002419959</v>
      </c>
      <c r="N48">
        <v>18665.5</v>
      </c>
      <c r="O48">
        <v>19300</v>
      </c>
      <c r="P48" t="s">
        <v>48</v>
      </c>
      <c r="Q48" t="s">
        <v>24</v>
      </c>
      <c r="R48">
        <v>4300</v>
      </c>
      <c r="S48">
        <v>-1509</v>
      </c>
      <c r="T48">
        <v>-25.976932346359099</v>
      </c>
      <c r="U48">
        <v>29088</v>
      </c>
      <c r="V48">
        <v>9.7100000000000009</v>
      </c>
      <c r="W48">
        <v>7.6</v>
      </c>
      <c r="X48">
        <v>-7.0500000000000007</v>
      </c>
      <c r="Y48">
        <v>-48.122866894197955</v>
      </c>
      <c r="Z48">
        <v>18665.5</v>
      </c>
    </row>
    <row r="49" spans="1:26" x14ac:dyDescent="0.25">
      <c r="A49">
        <v>19350</v>
      </c>
      <c r="B49" t="s">
        <v>48</v>
      </c>
      <c r="C49">
        <v>19350</v>
      </c>
      <c r="D49" t="s">
        <v>48</v>
      </c>
      <c r="E49" t="s">
        <v>24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18665.5</v>
      </c>
      <c r="O49">
        <v>19350</v>
      </c>
      <c r="P49" t="s">
        <v>48</v>
      </c>
      <c r="Q49" t="s">
        <v>24</v>
      </c>
      <c r="R49">
        <v>895</v>
      </c>
      <c r="S49">
        <v>403</v>
      </c>
      <c r="T49">
        <v>81.910569105691053</v>
      </c>
      <c r="U49">
        <v>6217</v>
      </c>
      <c r="V49">
        <v>10.029999999999999</v>
      </c>
      <c r="W49">
        <v>6.35</v>
      </c>
      <c r="X49">
        <v>-4.7000000000000011</v>
      </c>
      <c r="Y49">
        <v>-42.533936651583709</v>
      </c>
      <c r="Z49">
        <v>18665.5</v>
      </c>
    </row>
    <row r="50" spans="1:26" x14ac:dyDescent="0.25">
      <c r="A50">
        <v>19400</v>
      </c>
      <c r="B50" t="s">
        <v>48</v>
      </c>
      <c r="C50">
        <v>19400</v>
      </c>
      <c r="D50" t="s">
        <v>48</v>
      </c>
      <c r="E50" t="s">
        <v>24</v>
      </c>
      <c r="F50">
        <v>10</v>
      </c>
      <c r="G50">
        <v>0</v>
      </c>
      <c r="H50">
        <v>0</v>
      </c>
      <c r="I50">
        <v>8</v>
      </c>
      <c r="J50">
        <v>0</v>
      </c>
      <c r="K50">
        <v>646.9</v>
      </c>
      <c r="L50">
        <v>76.449999999999932</v>
      </c>
      <c r="M50">
        <v>13.401700411955462</v>
      </c>
      <c r="N50">
        <v>18665.5</v>
      </c>
      <c r="O50">
        <v>19400</v>
      </c>
      <c r="P50" t="s">
        <v>48</v>
      </c>
      <c r="Q50" t="s">
        <v>24</v>
      </c>
      <c r="R50">
        <v>3006</v>
      </c>
      <c r="S50">
        <v>-267</v>
      </c>
      <c r="T50">
        <v>-8.1576535288725935</v>
      </c>
      <c r="U50">
        <v>16818</v>
      </c>
      <c r="V50">
        <v>10.39</v>
      </c>
      <c r="W50">
        <v>5.5</v>
      </c>
      <c r="X50">
        <v>-3.1500000000000004</v>
      </c>
      <c r="Y50">
        <v>-36.416184971098268</v>
      </c>
      <c r="Z50">
        <v>18665.5</v>
      </c>
    </row>
    <row r="51" spans="1:26" x14ac:dyDescent="0.25">
      <c r="A51">
        <v>19450</v>
      </c>
      <c r="B51" t="s">
        <v>48</v>
      </c>
      <c r="C51">
        <v>19450</v>
      </c>
      <c r="D51" t="s">
        <v>48</v>
      </c>
      <c r="E51" t="s">
        <v>24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18665.5</v>
      </c>
      <c r="O51">
        <v>19450</v>
      </c>
      <c r="P51" t="s">
        <v>48</v>
      </c>
      <c r="Q51" t="s">
        <v>24</v>
      </c>
      <c r="R51">
        <v>196</v>
      </c>
      <c r="S51">
        <v>196</v>
      </c>
      <c r="T51">
        <v>0</v>
      </c>
      <c r="U51">
        <v>787</v>
      </c>
      <c r="V51">
        <v>10.9</v>
      </c>
      <c r="W51">
        <v>5.2</v>
      </c>
      <c r="X51">
        <v>-114.75</v>
      </c>
      <c r="Y51">
        <v>-95.664860358482699</v>
      </c>
      <c r="Z51">
        <v>18665.5</v>
      </c>
    </row>
    <row r="52" spans="1:26" x14ac:dyDescent="0.25">
      <c r="A52">
        <v>19500</v>
      </c>
      <c r="B52" t="s">
        <v>48</v>
      </c>
      <c r="C52">
        <v>19500</v>
      </c>
      <c r="D52" t="s">
        <v>48</v>
      </c>
      <c r="E52" t="s">
        <v>24</v>
      </c>
      <c r="F52">
        <v>25</v>
      </c>
      <c r="G52">
        <v>13</v>
      </c>
      <c r="H52">
        <v>108.33333333333331</v>
      </c>
      <c r="I52">
        <v>36</v>
      </c>
      <c r="J52">
        <v>7.67</v>
      </c>
      <c r="K52">
        <v>765.4</v>
      </c>
      <c r="L52">
        <v>134.04999999999995</v>
      </c>
      <c r="M52">
        <v>21.232280034845957</v>
      </c>
      <c r="N52">
        <v>18665.5</v>
      </c>
      <c r="O52">
        <v>19500</v>
      </c>
      <c r="P52" t="s">
        <v>48</v>
      </c>
      <c r="Q52" t="s">
        <v>24</v>
      </c>
      <c r="R52">
        <v>6735</v>
      </c>
      <c r="S52">
        <v>-502</v>
      </c>
      <c r="T52">
        <v>-6.9365759292524523</v>
      </c>
      <c r="U52">
        <v>23316</v>
      </c>
      <c r="V52">
        <v>11.43</v>
      </c>
      <c r="W52">
        <v>5</v>
      </c>
      <c r="X52">
        <v>-1.3499999999999996</v>
      </c>
      <c r="Y52">
        <v>-21.259842519685034</v>
      </c>
      <c r="Z52">
        <v>18665.5</v>
      </c>
    </row>
    <row r="53" spans="1:26" x14ac:dyDescent="0.25">
      <c r="A53">
        <v>19550</v>
      </c>
      <c r="B53" t="s">
        <v>48</v>
      </c>
      <c r="C53">
        <v>19550</v>
      </c>
      <c r="D53" t="s">
        <v>48</v>
      </c>
      <c r="E53" t="s">
        <v>24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18665.5</v>
      </c>
      <c r="O53">
        <v>19550</v>
      </c>
      <c r="P53" t="s">
        <v>48</v>
      </c>
      <c r="Q53" t="s">
        <v>24</v>
      </c>
      <c r="R53">
        <v>219</v>
      </c>
      <c r="S53">
        <v>181</v>
      </c>
      <c r="T53">
        <v>476.31578947368422</v>
      </c>
      <c r="U53">
        <v>1761</v>
      </c>
      <c r="V53">
        <v>11.84</v>
      </c>
      <c r="W53">
        <v>4.55</v>
      </c>
      <c r="X53">
        <v>-0.85000000000000053</v>
      </c>
      <c r="Y53">
        <v>-15.740740740740749</v>
      </c>
      <c r="Z53">
        <v>18665.5</v>
      </c>
    </row>
    <row r="54" spans="1:26" x14ac:dyDescent="0.25">
      <c r="A54">
        <v>19600</v>
      </c>
      <c r="B54" t="s">
        <v>48</v>
      </c>
      <c r="C54">
        <v>19600</v>
      </c>
      <c r="D54" t="s">
        <v>48</v>
      </c>
      <c r="E54" t="s">
        <v>24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18665.5</v>
      </c>
      <c r="O54">
        <v>19600</v>
      </c>
      <c r="P54" t="s">
        <v>48</v>
      </c>
      <c r="Q54" t="s">
        <v>24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18665.5</v>
      </c>
    </row>
    <row r="55" spans="1:26" x14ac:dyDescent="0.25">
      <c r="A55">
        <v>19650</v>
      </c>
      <c r="B55" t="s">
        <v>48</v>
      </c>
      <c r="C55">
        <v>19650</v>
      </c>
      <c r="D55" t="s">
        <v>48</v>
      </c>
      <c r="E55" t="s">
        <v>24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18665.5</v>
      </c>
      <c r="O55">
        <v>19650</v>
      </c>
      <c r="P55" t="s">
        <v>48</v>
      </c>
      <c r="Q55" t="s">
        <v>24</v>
      </c>
      <c r="R55">
        <v>173</v>
      </c>
      <c r="S55">
        <v>94</v>
      </c>
      <c r="T55">
        <v>118.98734177215189</v>
      </c>
      <c r="U55">
        <v>218</v>
      </c>
      <c r="V55">
        <v>13.42</v>
      </c>
      <c r="W55">
        <v>5.5</v>
      </c>
      <c r="X55">
        <v>-0.34999999999999964</v>
      </c>
      <c r="Y55">
        <v>-5.9829059829059767</v>
      </c>
      <c r="Z55">
        <v>18665.5</v>
      </c>
    </row>
    <row r="56" spans="1:26" x14ac:dyDescent="0.25">
      <c r="A56">
        <v>19700</v>
      </c>
      <c r="B56" t="s">
        <v>48</v>
      </c>
      <c r="C56">
        <v>19700</v>
      </c>
      <c r="D56" t="s">
        <v>48</v>
      </c>
      <c r="E56" t="s">
        <v>24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18665.5</v>
      </c>
      <c r="O56">
        <v>19700</v>
      </c>
      <c r="P56" t="s">
        <v>48</v>
      </c>
      <c r="Q56" t="s">
        <v>24</v>
      </c>
      <c r="R56">
        <v>995</v>
      </c>
      <c r="S56">
        <v>546</v>
      </c>
      <c r="T56">
        <v>121.60356347438751</v>
      </c>
      <c r="U56">
        <v>4149</v>
      </c>
      <c r="V56">
        <v>13.17</v>
      </c>
      <c r="W56">
        <v>3.75</v>
      </c>
      <c r="X56">
        <v>4.9999999999999822E-2</v>
      </c>
      <c r="Y56">
        <v>1.3513513513513469</v>
      </c>
      <c r="Z56">
        <v>18665.5</v>
      </c>
    </row>
    <row r="57" spans="1:26" x14ac:dyDescent="0.25">
      <c r="A57">
        <v>19750</v>
      </c>
      <c r="B57" t="s">
        <v>48</v>
      </c>
      <c r="C57">
        <v>19750</v>
      </c>
      <c r="D57" t="s">
        <v>48</v>
      </c>
      <c r="E57" t="s">
        <v>24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18665.5</v>
      </c>
      <c r="O57">
        <v>19750</v>
      </c>
      <c r="P57" t="s">
        <v>48</v>
      </c>
      <c r="Q57" t="s">
        <v>24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18665.5</v>
      </c>
    </row>
    <row r="58" spans="1:26" x14ac:dyDescent="0.25">
      <c r="A58">
        <v>19800</v>
      </c>
      <c r="B58" t="s">
        <v>48</v>
      </c>
      <c r="C58">
        <v>19800</v>
      </c>
      <c r="D58" t="s">
        <v>48</v>
      </c>
      <c r="E58" t="s">
        <v>24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18665.5</v>
      </c>
      <c r="O58">
        <v>19800</v>
      </c>
      <c r="P58" t="s">
        <v>48</v>
      </c>
      <c r="Q58" t="s">
        <v>24</v>
      </c>
      <c r="R58">
        <v>172</v>
      </c>
      <c r="S58">
        <v>172</v>
      </c>
      <c r="T58">
        <v>0</v>
      </c>
      <c r="U58">
        <v>932</v>
      </c>
      <c r="V58">
        <v>14</v>
      </c>
      <c r="W58">
        <v>3.3</v>
      </c>
      <c r="X58">
        <v>-61.650000000000006</v>
      </c>
      <c r="Y58">
        <v>-94.919168591224022</v>
      </c>
      <c r="Z58">
        <v>18665.5</v>
      </c>
    </row>
    <row r="59" spans="1:26" x14ac:dyDescent="0.25">
      <c r="A59">
        <v>19850</v>
      </c>
      <c r="B59" t="s">
        <v>48</v>
      </c>
      <c r="C59">
        <v>19850</v>
      </c>
      <c r="D59" t="s">
        <v>48</v>
      </c>
      <c r="E59" t="s">
        <v>24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18665.5</v>
      </c>
      <c r="O59">
        <v>19850</v>
      </c>
      <c r="P59" t="s">
        <v>48</v>
      </c>
      <c r="Q59" t="s">
        <v>24</v>
      </c>
      <c r="R59">
        <v>78</v>
      </c>
      <c r="S59">
        <v>5</v>
      </c>
      <c r="T59">
        <v>6.8493150684931505</v>
      </c>
      <c r="U59">
        <v>258</v>
      </c>
      <c r="V59">
        <v>14.45</v>
      </c>
      <c r="W59">
        <v>3.15</v>
      </c>
      <c r="X59">
        <v>-0.64999999999999991</v>
      </c>
      <c r="Y59">
        <v>-17.105263157894733</v>
      </c>
      <c r="Z59">
        <v>18665.5</v>
      </c>
    </row>
    <row r="60" spans="1:26" x14ac:dyDescent="0.25">
      <c r="A60">
        <v>19900</v>
      </c>
      <c r="B60" t="s">
        <v>48</v>
      </c>
      <c r="C60">
        <v>19900</v>
      </c>
      <c r="D60" t="s">
        <v>48</v>
      </c>
      <c r="E60" t="s">
        <v>24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18665.5</v>
      </c>
      <c r="O60">
        <v>19900</v>
      </c>
      <c r="P60" t="s">
        <v>48</v>
      </c>
      <c r="Q60" t="s">
        <v>24</v>
      </c>
      <c r="R60">
        <v>527</v>
      </c>
      <c r="S60">
        <v>45</v>
      </c>
      <c r="T60">
        <v>9.3360995850622395</v>
      </c>
      <c r="U60">
        <v>867</v>
      </c>
      <c r="V60">
        <v>14.84</v>
      </c>
      <c r="W60">
        <v>2.95</v>
      </c>
      <c r="X60">
        <v>-9.9999999999999645E-2</v>
      </c>
      <c r="Y60">
        <v>-3.2786885245901525</v>
      </c>
      <c r="Z60">
        <v>18665.5</v>
      </c>
    </row>
    <row r="61" spans="1:26" x14ac:dyDescent="0.25">
      <c r="A61">
        <v>19950</v>
      </c>
      <c r="B61" t="s">
        <v>48</v>
      </c>
      <c r="C61">
        <v>19950</v>
      </c>
      <c r="D61" t="s">
        <v>48</v>
      </c>
      <c r="E61" t="s">
        <v>24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18665.5</v>
      </c>
      <c r="O61">
        <v>19950</v>
      </c>
      <c r="P61" t="s">
        <v>48</v>
      </c>
      <c r="Q61" t="s">
        <v>24</v>
      </c>
      <c r="R61">
        <v>73</v>
      </c>
      <c r="S61">
        <v>22</v>
      </c>
      <c r="T61">
        <v>43.137254901960787</v>
      </c>
      <c r="U61">
        <v>374</v>
      </c>
      <c r="V61">
        <v>15.33</v>
      </c>
      <c r="W61">
        <v>2.9</v>
      </c>
      <c r="X61">
        <v>-1.0500000000000005</v>
      </c>
      <c r="Y61">
        <v>-26.582278481012661</v>
      </c>
      <c r="Z61">
        <v>18665.5</v>
      </c>
    </row>
    <row r="62" spans="1:26" x14ac:dyDescent="0.25">
      <c r="A62">
        <v>20000</v>
      </c>
      <c r="B62" t="s">
        <v>48</v>
      </c>
      <c r="C62">
        <v>20000</v>
      </c>
      <c r="D62" t="s">
        <v>48</v>
      </c>
      <c r="E62" t="s">
        <v>24</v>
      </c>
      <c r="F62">
        <v>5</v>
      </c>
      <c r="G62">
        <v>4</v>
      </c>
      <c r="H62">
        <v>400</v>
      </c>
      <c r="I62">
        <v>4</v>
      </c>
      <c r="J62">
        <v>0</v>
      </c>
      <c r="K62">
        <v>1255</v>
      </c>
      <c r="L62">
        <v>-121.34999999999992</v>
      </c>
      <c r="M62">
        <v>-8.8167980528208609</v>
      </c>
      <c r="N62">
        <v>18665.5</v>
      </c>
      <c r="O62">
        <v>20000</v>
      </c>
      <c r="P62" t="s">
        <v>48</v>
      </c>
      <c r="Q62" t="s">
        <v>24</v>
      </c>
      <c r="R62">
        <v>1537</v>
      </c>
      <c r="S62">
        <v>46</v>
      </c>
      <c r="T62">
        <v>3.0851777330650569</v>
      </c>
      <c r="U62">
        <v>3163</v>
      </c>
      <c r="V62">
        <v>15.61</v>
      </c>
      <c r="W62">
        <v>2.6</v>
      </c>
      <c r="X62">
        <v>-0.29999999999999982</v>
      </c>
      <c r="Y62">
        <v>-10.344827586206891</v>
      </c>
      <c r="Z62">
        <v>18665.5</v>
      </c>
    </row>
    <row r="63" spans="1:26" x14ac:dyDescent="0.25">
      <c r="A63">
        <v>20050</v>
      </c>
      <c r="B63" t="s">
        <v>48</v>
      </c>
      <c r="C63">
        <v>20050</v>
      </c>
      <c r="D63" t="s">
        <v>48</v>
      </c>
      <c r="E63" t="s">
        <v>24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18665.5</v>
      </c>
      <c r="O63">
        <v>20050</v>
      </c>
      <c r="P63" t="s">
        <v>48</v>
      </c>
      <c r="Q63" t="s">
        <v>24</v>
      </c>
      <c r="R63">
        <v>68</v>
      </c>
      <c r="S63">
        <v>5</v>
      </c>
      <c r="T63">
        <v>7.9365079365079367</v>
      </c>
      <c r="U63">
        <v>9</v>
      </c>
      <c r="V63">
        <v>16.04</v>
      </c>
      <c r="W63">
        <v>2.5</v>
      </c>
      <c r="X63">
        <v>-0.95000000000000018</v>
      </c>
      <c r="Y63">
        <v>-27.536231884057976</v>
      </c>
      <c r="Z63">
        <v>18665.5</v>
      </c>
    </row>
    <row r="64" spans="1:26" x14ac:dyDescent="0.25">
      <c r="A64">
        <v>20100</v>
      </c>
      <c r="B64" t="s">
        <v>48</v>
      </c>
      <c r="C64">
        <v>20100</v>
      </c>
      <c r="D64" t="s">
        <v>48</v>
      </c>
      <c r="E64" t="s">
        <v>24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18665.5</v>
      </c>
      <c r="O64">
        <v>20100</v>
      </c>
      <c r="P64" t="s">
        <v>48</v>
      </c>
      <c r="Q64" t="s">
        <v>24</v>
      </c>
      <c r="R64">
        <v>109</v>
      </c>
      <c r="S64">
        <v>62</v>
      </c>
      <c r="T64">
        <v>131.91489361702128</v>
      </c>
      <c r="U64">
        <v>168</v>
      </c>
      <c r="V64">
        <v>16.36</v>
      </c>
      <c r="W64">
        <v>2.2999999999999998</v>
      </c>
      <c r="X64">
        <v>-1.1000000000000001</v>
      </c>
      <c r="Y64">
        <v>-32.352941176470587</v>
      </c>
      <c r="Z64">
        <v>18665.5</v>
      </c>
    </row>
    <row r="65" spans="1:26" x14ac:dyDescent="0.25">
      <c r="A65">
        <v>20150</v>
      </c>
      <c r="B65" t="s">
        <v>48</v>
      </c>
      <c r="C65">
        <v>20150</v>
      </c>
      <c r="D65" t="s">
        <v>48</v>
      </c>
      <c r="E65" t="s">
        <v>24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18665.5</v>
      </c>
      <c r="O65">
        <v>20150</v>
      </c>
      <c r="P65" t="s">
        <v>48</v>
      </c>
      <c r="Q65" t="s">
        <v>24</v>
      </c>
      <c r="R65">
        <v>87</v>
      </c>
      <c r="S65">
        <v>53</v>
      </c>
      <c r="T65">
        <v>155.88235294117646</v>
      </c>
      <c r="U65">
        <v>151</v>
      </c>
      <c r="V65">
        <v>16.809999999999999</v>
      </c>
      <c r="W65">
        <v>2.25</v>
      </c>
      <c r="X65">
        <v>-0.60000000000000009</v>
      </c>
      <c r="Y65">
        <v>-21.05263157894737</v>
      </c>
      <c r="Z65">
        <v>18665.5</v>
      </c>
    </row>
    <row r="66" spans="1:26" x14ac:dyDescent="0.25">
      <c r="A66">
        <v>20200</v>
      </c>
      <c r="B66" t="s">
        <v>48</v>
      </c>
      <c r="C66">
        <v>20200</v>
      </c>
      <c r="D66" t="s">
        <v>48</v>
      </c>
      <c r="E66" t="s">
        <v>24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18665.5</v>
      </c>
      <c r="O66">
        <v>20200</v>
      </c>
      <c r="P66" t="s">
        <v>48</v>
      </c>
      <c r="Q66" t="s">
        <v>24</v>
      </c>
      <c r="R66">
        <v>144</v>
      </c>
      <c r="S66">
        <v>1</v>
      </c>
      <c r="T66">
        <v>0.69930069930069927</v>
      </c>
      <c r="U66">
        <v>299</v>
      </c>
      <c r="V66">
        <v>17.2</v>
      </c>
      <c r="W66">
        <v>2.15</v>
      </c>
      <c r="X66">
        <v>-0.95000000000000018</v>
      </c>
      <c r="Y66">
        <v>-30.645161290322587</v>
      </c>
      <c r="Z66">
        <v>18665.5</v>
      </c>
    </row>
    <row r="67" spans="1:26" x14ac:dyDescent="0.25">
      <c r="A67">
        <v>20250</v>
      </c>
      <c r="B67" t="s">
        <v>48</v>
      </c>
      <c r="C67">
        <v>20250</v>
      </c>
      <c r="D67" t="s">
        <v>48</v>
      </c>
      <c r="E67" t="s">
        <v>24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18665.5</v>
      </c>
      <c r="O67">
        <v>20250</v>
      </c>
      <c r="P67" t="s">
        <v>48</v>
      </c>
      <c r="Q67" t="s">
        <v>24</v>
      </c>
      <c r="R67">
        <v>111</v>
      </c>
      <c r="S67">
        <v>-11</v>
      </c>
      <c r="T67">
        <v>-9.0163934426229506</v>
      </c>
      <c r="U67">
        <v>42</v>
      </c>
      <c r="V67">
        <v>17.8</v>
      </c>
      <c r="W67">
        <v>2.25</v>
      </c>
      <c r="X67">
        <v>-1.7000000000000002</v>
      </c>
      <c r="Y67">
        <v>-43.037974683544306</v>
      </c>
      <c r="Z67">
        <v>18665.5</v>
      </c>
    </row>
    <row r="68" spans="1:26" x14ac:dyDescent="0.25">
      <c r="A68">
        <v>20300</v>
      </c>
      <c r="B68" t="s">
        <v>48</v>
      </c>
      <c r="C68">
        <v>20300</v>
      </c>
      <c r="D68" t="s">
        <v>48</v>
      </c>
      <c r="E68" t="s">
        <v>24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18665.5</v>
      </c>
      <c r="O68">
        <v>20300</v>
      </c>
      <c r="P68" t="s">
        <v>48</v>
      </c>
      <c r="Q68" t="s">
        <v>24</v>
      </c>
      <c r="R68">
        <v>225</v>
      </c>
      <c r="S68">
        <v>165</v>
      </c>
      <c r="T68">
        <v>275</v>
      </c>
      <c r="U68">
        <v>657</v>
      </c>
      <c r="V68">
        <v>18.02</v>
      </c>
      <c r="W68">
        <v>2</v>
      </c>
      <c r="X68">
        <v>-0.29999999999999982</v>
      </c>
      <c r="Y68">
        <v>-13.043478260869559</v>
      </c>
      <c r="Z68">
        <v>18665.5</v>
      </c>
    </row>
    <row r="69" spans="1:26" x14ac:dyDescent="0.25">
      <c r="A69">
        <v>20350</v>
      </c>
      <c r="B69" t="s">
        <v>48</v>
      </c>
      <c r="C69">
        <v>20350</v>
      </c>
      <c r="D69" t="s">
        <v>48</v>
      </c>
      <c r="E69" t="s">
        <v>24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18665.5</v>
      </c>
      <c r="O69">
        <v>20350</v>
      </c>
      <c r="P69" t="s">
        <v>48</v>
      </c>
      <c r="Q69" t="s">
        <v>24</v>
      </c>
      <c r="R69">
        <v>190</v>
      </c>
      <c r="S69">
        <v>93</v>
      </c>
      <c r="T69">
        <v>95.876288659793801</v>
      </c>
      <c r="U69">
        <v>429</v>
      </c>
      <c r="V69">
        <v>18.489999999999998</v>
      </c>
      <c r="W69">
        <v>2</v>
      </c>
      <c r="X69">
        <v>-0.89999999999999991</v>
      </c>
      <c r="Y69">
        <v>-31.034482758620683</v>
      </c>
      <c r="Z69">
        <v>18665.5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81"/>
  <sheetViews>
    <sheetView workbookViewId="0">
      <selection sqref="A1:Z81"/>
    </sheetView>
  </sheetViews>
  <sheetFormatPr defaultRowHeight="15" x14ac:dyDescent="0.25"/>
  <cols>
    <col min="1" max="1" width="12.7109375" bestFit="1" customWidth="1"/>
    <col min="2" max="2" width="13" bestFit="1" customWidth="1"/>
    <col min="3" max="3" width="16.42578125" bestFit="1" customWidth="1"/>
    <col min="4" max="4" width="16.7109375" bestFit="1" customWidth="1"/>
    <col min="5" max="5" width="16.5703125" bestFit="1" customWidth="1"/>
    <col min="6" max="6" width="18.5703125" bestFit="1" customWidth="1"/>
    <col min="7" max="7" width="27.140625" bestFit="1" customWidth="1"/>
    <col min="8" max="8" width="28.42578125" bestFit="1" customWidth="1"/>
    <col min="9" max="9" width="24.5703125" bestFit="1" customWidth="1"/>
    <col min="10" max="10" width="22.140625" bestFit="1" customWidth="1"/>
    <col min="11" max="11" width="14.42578125" bestFit="1" customWidth="1"/>
    <col min="12" max="12" width="13.140625" bestFit="1" customWidth="1"/>
    <col min="13" max="13" width="14.5703125" bestFit="1" customWidth="1"/>
    <col min="14" max="14" width="21.85546875" bestFit="1" customWidth="1"/>
    <col min="15" max="15" width="16.7109375" bestFit="1" customWidth="1"/>
    <col min="16" max="16" width="17" bestFit="1" customWidth="1"/>
    <col min="17" max="17" width="16.85546875" bestFit="1" customWidth="1"/>
    <col min="18" max="18" width="18.85546875" bestFit="1" customWidth="1"/>
    <col min="19" max="19" width="27.42578125" bestFit="1" customWidth="1"/>
    <col min="20" max="20" width="28.7109375" bestFit="1" customWidth="1"/>
    <col min="21" max="21" width="24.85546875" bestFit="1" customWidth="1"/>
    <col min="22" max="22" width="22.42578125" bestFit="1" customWidth="1"/>
    <col min="23" max="23" width="14.7109375" bestFit="1" customWidth="1"/>
    <col min="24" max="24" width="13.42578125" bestFit="1" customWidth="1"/>
    <col min="25" max="25" width="14.85546875" bestFit="1" customWidth="1"/>
    <col min="26" max="26" width="22.140625" bestFit="1" customWidth="1"/>
  </cols>
  <sheetData>
    <row r="1" spans="1:26" x14ac:dyDescent="0.25">
      <c r="A1" t="s">
        <v>0</v>
      </c>
      <c r="B1" t="s">
        <v>1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40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</v>
      </c>
      <c r="P1" t="s">
        <v>3</v>
      </c>
      <c r="Q1" t="s">
        <v>4</v>
      </c>
      <c r="R1" t="s">
        <v>5</v>
      </c>
      <c r="S1" t="s">
        <v>6</v>
      </c>
      <c r="T1" t="s">
        <v>39</v>
      </c>
      <c r="U1" t="s">
        <v>7</v>
      </c>
      <c r="V1" t="s">
        <v>8</v>
      </c>
      <c r="W1" t="s">
        <v>9</v>
      </c>
      <c r="X1" t="s">
        <v>10</v>
      </c>
      <c r="Y1" t="s">
        <v>11</v>
      </c>
      <c r="Z1" t="s">
        <v>12</v>
      </c>
    </row>
    <row r="2" spans="1:26" x14ac:dyDescent="0.25">
      <c r="A2">
        <v>16400</v>
      </c>
      <c r="B2" t="s">
        <v>49</v>
      </c>
      <c r="C2">
        <v>16400</v>
      </c>
      <c r="D2" t="s">
        <v>49</v>
      </c>
      <c r="E2" t="s">
        <v>24</v>
      </c>
      <c r="F2">
        <v>862</v>
      </c>
      <c r="G2">
        <v>206</v>
      </c>
      <c r="H2">
        <v>31.402439024390244</v>
      </c>
      <c r="I2">
        <v>355</v>
      </c>
      <c r="J2">
        <v>20.02</v>
      </c>
      <c r="K2">
        <v>4.25</v>
      </c>
      <c r="L2">
        <v>-1.0499999999999998</v>
      </c>
      <c r="M2">
        <v>-19.811320754716981</v>
      </c>
      <c r="N2">
        <v>18665.5</v>
      </c>
      <c r="O2">
        <v>16400</v>
      </c>
      <c r="P2" t="s">
        <v>49</v>
      </c>
      <c r="Q2" t="s">
        <v>24</v>
      </c>
      <c r="R2">
        <v>82</v>
      </c>
      <c r="S2">
        <v>79</v>
      </c>
      <c r="T2">
        <v>2633.3333333333335</v>
      </c>
      <c r="U2">
        <v>79</v>
      </c>
      <c r="V2">
        <v>0</v>
      </c>
      <c r="W2">
        <v>2370.4499999999998</v>
      </c>
      <c r="X2">
        <v>-152.55000000000018</v>
      </c>
      <c r="Y2">
        <v>-6.0463733650416245</v>
      </c>
      <c r="Z2">
        <v>18665.5</v>
      </c>
    </row>
    <row r="3" spans="1:26" x14ac:dyDescent="0.25">
      <c r="A3">
        <v>16450</v>
      </c>
      <c r="B3" t="s">
        <v>49</v>
      </c>
      <c r="C3">
        <v>16450</v>
      </c>
      <c r="D3" t="s">
        <v>49</v>
      </c>
      <c r="E3" t="s">
        <v>24</v>
      </c>
      <c r="F3">
        <v>67</v>
      </c>
      <c r="G3">
        <v>1</v>
      </c>
      <c r="H3">
        <v>1.5151515151515151</v>
      </c>
      <c r="I3">
        <v>6</v>
      </c>
      <c r="J3">
        <v>19.73</v>
      </c>
      <c r="K3">
        <v>4.4000000000000004</v>
      </c>
      <c r="L3">
        <v>-0.75</v>
      </c>
      <c r="M3">
        <v>-14.563106796116504</v>
      </c>
      <c r="N3">
        <v>18665.5</v>
      </c>
      <c r="O3">
        <v>16450</v>
      </c>
      <c r="P3" t="s">
        <v>49</v>
      </c>
      <c r="Q3" t="s">
        <v>24</v>
      </c>
      <c r="R3">
        <v>1</v>
      </c>
      <c r="S3">
        <v>0</v>
      </c>
      <c r="T3">
        <v>0</v>
      </c>
      <c r="U3">
        <v>0</v>
      </c>
      <c r="V3">
        <v>0</v>
      </c>
      <c r="W3">
        <v>2530.9</v>
      </c>
      <c r="X3">
        <v>0</v>
      </c>
      <c r="Y3">
        <v>0</v>
      </c>
      <c r="Z3">
        <v>18665.5</v>
      </c>
    </row>
    <row r="4" spans="1:26" x14ac:dyDescent="0.25">
      <c r="A4">
        <v>16500</v>
      </c>
      <c r="B4" t="s">
        <v>49</v>
      </c>
      <c r="C4">
        <v>16500</v>
      </c>
      <c r="D4" t="s">
        <v>49</v>
      </c>
      <c r="E4" t="s">
        <v>24</v>
      </c>
      <c r="F4">
        <v>10922</v>
      </c>
      <c r="G4">
        <v>322</v>
      </c>
      <c r="H4">
        <v>3.0377358490566042</v>
      </c>
      <c r="I4">
        <v>4509</v>
      </c>
      <c r="J4">
        <v>19.25</v>
      </c>
      <c r="K4">
        <v>4.25</v>
      </c>
      <c r="L4">
        <v>-1.3499999999999996</v>
      </c>
      <c r="M4">
        <v>-24.107142857142851</v>
      </c>
      <c r="N4">
        <v>18665.5</v>
      </c>
      <c r="O4">
        <v>16500</v>
      </c>
      <c r="P4" t="s">
        <v>49</v>
      </c>
      <c r="Q4" t="s">
        <v>24</v>
      </c>
      <c r="R4">
        <v>2033</v>
      </c>
      <c r="S4">
        <v>710</v>
      </c>
      <c r="T4">
        <v>53.665910808767954</v>
      </c>
      <c r="U4">
        <v>801</v>
      </c>
      <c r="V4">
        <v>0</v>
      </c>
      <c r="W4">
        <v>2271.6</v>
      </c>
      <c r="X4">
        <v>-127.34999999999992</v>
      </c>
      <c r="Y4">
        <v>-5.3085725004689523</v>
      </c>
      <c r="Z4">
        <v>18665.5</v>
      </c>
    </row>
    <row r="5" spans="1:26" x14ac:dyDescent="0.25">
      <c r="A5">
        <v>16550</v>
      </c>
      <c r="B5" t="s">
        <v>49</v>
      </c>
      <c r="C5">
        <v>16550</v>
      </c>
      <c r="D5" t="s">
        <v>49</v>
      </c>
      <c r="E5" t="s">
        <v>24</v>
      </c>
      <c r="F5">
        <v>26</v>
      </c>
      <c r="G5">
        <v>-2</v>
      </c>
      <c r="H5">
        <v>-7.1428571428571432</v>
      </c>
      <c r="I5">
        <v>4</v>
      </c>
      <c r="J5">
        <v>19.39</v>
      </c>
      <c r="K5">
        <v>5.2</v>
      </c>
      <c r="L5">
        <v>-3.850000000000001</v>
      </c>
      <c r="M5">
        <v>-42.541436464088399</v>
      </c>
      <c r="N5">
        <v>18665.5</v>
      </c>
      <c r="O5">
        <v>16550</v>
      </c>
      <c r="P5" t="s">
        <v>49</v>
      </c>
      <c r="Q5" t="s">
        <v>24</v>
      </c>
      <c r="R5">
        <v>2</v>
      </c>
      <c r="S5">
        <v>0</v>
      </c>
      <c r="T5">
        <v>0</v>
      </c>
      <c r="U5">
        <v>0</v>
      </c>
      <c r="V5">
        <v>0</v>
      </c>
      <c r="W5">
        <v>2393.9499999999998</v>
      </c>
      <c r="X5">
        <v>0</v>
      </c>
      <c r="Y5">
        <v>0</v>
      </c>
      <c r="Z5">
        <v>18665.5</v>
      </c>
    </row>
    <row r="6" spans="1:26" x14ac:dyDescent="0.25">
      <c r="A6">
        <v>16600</v>
      </c>
      <c r="B6" t="s">
        <v>49</v>
      </c>
      <c r="C6">
        <v>16600</v>
      </c>
      <c r="D6" t="s">
        <v>49</v>
      </c>
      <c r="E6" t="s">
        <v>24</v>
      </c>
      <c r="F6">
        <v>114</v>
      </c>
      <c r="G6">
        <v>-49</v>
      </c>
      <c r="H6">
        <v>-30.061349693251532</v>
      </c>
      <c r="I6">
        <v>110</v>
      </c>
      <c r="J6">
        <v>18.73</v>
      </c>
      <c r="K6">
        <v>4.7</v>
      </c>
      <c r="L6">
        <v>-1.3499999999999996</v>
      </c>
      <c r="M6">
        <v>-22.314049586776857</v>
      </c>
      <c r="N6">
        <v>18665.5</v>
      </c>
      <c r="O6">
        <v>16600</v>
      </c>
      <c r="P6" t="s">
        <v>49</v>
      </c>
      <c r="Q6" t="s">
        <v>24</v>
      </c>
      <c r="R6">
        <v>4</v>
      </c>
      <c r="S6">
        <v>3</v>
      </c>
      <c r="T6">
        <v>300</v>
      </c>
      <c r="U6">
        <v>3</v>
      </c>
      <c r="V6">
        <v>0</v>
      </c>
      <c r="W6">
        <v>2210</v>
      </c>
      <c r="X6">
        <v>-138.05000000000018</v>
      </c>
      <c r="Y6">
        <v>-5.8793466919358686</v>
      </c>
      <c r="Z6">
        <v>18665.5</v>
      </c>
    </row>
    <row r="7" spans="1:26" x14ac:dyDescent="0.25">
      <c r="A7">
        <v>16650</v>
      </c>
      <c r="B7" t="s">
        <v>49</v>
      </c>
      <c r="C7">
        <v>16650</v>
      </c>
      <c r="D7" t="s">
        <v>49</v>
      </c>
      <c r="E7" t="s">
        <v>24</v>
      </c>
      <c r="F7">
        <v>8</v>
      </c>
      <c r="G7">
        <v>-5</v>
      </c>
      <c r="H7">
        <v>-38.46153846153846</v>
      </c>
      <c r="I7">
        <v>22</v>
      </c>
      <c r="J7">
        <v>18.63</v>
      </c>
      <c r="K7">
        <v>5.25</v>
      </c>
      <c r="L7">
        <v>-1.9000000000000004</v>
      </c>
      <c r="M7">
        <v>-26.573426573426577</v>
      </c>
      <c r="N7">
        <v>18665.5</v>
      </c>
      <c r="O7">
        <v>16650</v>
      </c>
      <c r="P7" t="s">
        <v>49</v>
      </c>
      <c r="Q7" t="s">
        <v>24</v>
      </c>
      <c r="R7">
        <v>2</v>
      </c>
      <c r="S7">
        <v>0</v>
      </c>
      <c r="T7">
        <v>0</v>
      </c>
      <c r="U7">
        <v>0</v>
      </c>
      <c r="V7">
        <v>0</v>
      </c>
      <c r="W7">
        <v>2320.35</v>
      </c>
      <c r="X7">
        <v>0</v>
      </c>
      <c r="Y7">
        <v>0</v>
      </c>
      <c r="Z7">
        <v>18665.5</v>
      </c>
    </row>
    <row r="8" spans="1:26" x14ac:dyDescent="0.25">
      <c r="A8">
        <v>16700</v>
      </c>
      <c r="B8" t="s">
        <v>49</v>
      </c>
      <c r="C8">
        <v>16700</v>
      </c>
      <c r="D8" t="s">
        <v>49</v>
      </c>
      <c r="E8" t="s">
        <v>24</v>
      </c>
      <c r="F8">
        <v>63</v>
      </c>
      <c r="G8">
        <v>5</v>
      </c>
      <c r="H8">
        <v>8.6206896551724146</v>
      </c>
      <c r="I8">
        <v>88</v>
      </c>
      <c r="J8">
        <v>18.23</v>
      </c>
      <c r="K8">
        <v>5.25</v>
      </c>
      <c r="L8">
        <v>-1.2000000000000002</v>
      </c>
      <c r="M8">
        <v>-18.604651162790699</v>
      </c>
      <c r="N8">
        <v>18665.5</v>
      </c>
      <c r="O8">
        <v>16700</v>
      </c>
      <c r="P8" t="s">
        <v>49</v>
      </c>
      <c r="Q8" t="s">
        <v>24</v>
      </c>
      <c r="R8">
        <v>11</v>
      </c>
      <c r="S8">
        <v>0</v>
      </c>
      <c r="T8">
        <v>0</v>
      </c>
      <c r="U8">
        <v>0</v>
      </c>
      <c r="V8">
        <v>0</v>
      </c>
      <c r="W8">
        <v>2235</v>
      </c>
      <c r="X8">
        <v>0</v>
      </c>
      <c r="Y8">
        <v>0</v>
      </c>
      <c r="Z8">
        <v>18665.5</v>
      </c>
    </row>
    <row r="9" spans="1:26" x14ac:dyDescent="0.25">
      <c r="A9">
        <v>16750</v>
      </c>
      <c r="B9" t="s">
        <v>49</v>
      </c>
      <c r="C9">
        <v>16750</v>
      </c>
      <c r="D9" t="s">
        <v>49</v>
      </c>
      <c r="E9" t="s">
        <v>24</v>
      </c>
      <c r="F9">
        <v>1</v>
      </c>
      <c r="G9">
        <v>0</v>
      </c>
      <c r="H9">
        <v>0</v>
      </c>
      <c r="I9">
        <v>0</v>
      </c>
      <c r="J9">
        <v>0</v>
      </c>
      <c r="K9">
        <v>11.5</v>
      </c>
      <c r="L9">
        <v>0</v>
      </c>
      <c r="M9">
        <v>0</v>
      </c>
      <c r="N9">
        <v>18665.5</v>
      </c>
      <c r="O9">
        <v>16750</v>
      </c>
      <c r="P9" t="s">
        <v>49</v>
      </c>
      <c r="Q9" t="s">
        <v>24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18665.5</v>
      </c>
    </row>
    <row r="10" spans="1:26" x14ac:dyDescent="0.25">
      <c r="A10">
        <v>16800</v>
      </c>
      <c r="B10" t="s">
        <v>49</v>
      </c>
      <c r="C10">
        <v>16800</v>
      </c>
      <c r="D10" t="s">
        <v>49</v>
      </c>
      <c r="E10" t="s">
        <v>24</v>
      </c>
      <c r="F10">
        <v>493</v>
      </c>
      <c r="G10">
        <v>110</v>
      </c>
      <c r="H10">
        <v>28.720626631853783</v>
      </c>
      <c r="I10">
        <v>692</v>
      </c>
      <c r="J10">
        <v>17.79</v>
      </c>
      <c r="K10">
        <v>6</v>
      </c>
      <c r="L10">
        <v>-1.25</v>
      </c>
      <c r="M10">
        <v>-17.241379310344829</v>
      </c>
      <c r="N10">
        <v>18665.5</v>
      </c>
      <c r="O10">
        <v>16800</v>
      </c>
      <c r="P10" t="s">
        <v>49</v>
      </c>
      <c r="Q10" t="s">
        <v>24</v>
      </c>
      <c r="R10">
        <v>2</v>
      </c>
      <c r="S10">
        <v>0</v>
      </c>
      <c r="T10">
        <v>0</v>
      </c>
      <c r="U10">
        <v>0</v>
      </c>
      <c r="V10">
        <v>0</v>
      </c>
      <c r="W10">
        <v>2165.6999999999998</v>
      </c>
      <c r="X10">
        <v>0</v>
      </c>
      <c r="Y10">
        <v>0</v>
      </c>
      <c r="Z10">
        <v>18665.5</v>
      </c>
    </row>
    <row r="11" spans="1:26" x14ac:dyDescent="0.25">
      <c r="A11">
        <v>16850</v>
      </c>
      <c r="B11" t="s">
        <v>49</v>
      </c>
      <c r="C11">
        <v>16850</v>
      </c>
      <c r="D11" t="s">
        <v>49</v>
      </c>
      <c r="E11" t="s">
        <v>24</v>
      </c>
      <c r="F11">
        <v>1</v>
      </c>
      <c r="G11">
        <v>0</v>
      </c>
      <c r="H11">
        <v>0</v>
      </c>
      <c r="I11">
        <v>0</v>
      </c>
      <c r="J11">
        <v>0</v>
      </c>
      <c r="K11">
        <v>12.35</v>
      </c>
      <c r="L11">
        <v>0</v>
      </c>
      <c r="M11">
        <v>0</v>
      </c>
      <c r="N11">
        <v>18665.5</v>
      </c>
      <c r="O11">
        <v>16850</v>
      </c>
      <c r="P11" t="s">
        <v>49</v>
      </c>
      <c r="Q11" t="s">
        <v>24</v>
      </c>
      <c r="R11">
        <v>1</v>
      </c>
      <c r="S11">
        <v>0</v>
      </c>
      <c r="T11">
        <v>0</v>
      </c>
      <c r="U11">
        <v>0</v>
      </c>
      <c r="V11">
        <v>0</v>
      </c>
      <c r="W11">
        <v>2113.9</v>
      </c>
      <c r="X11">
        <v>0</v>
      </c>
      <c r="Y11">
        <v>0</v>
      </c>
      <c r="Z11">
        <v>18665.5</v>
      </c>
    </row>
    <row r="12" spans="1:26" x14ac:dyDescent="0.25">
      <c r="A12">
        <v>16900</v>
      </c>
      <c r="B12" t="s">
        <v>49</v>
      </c>
      <c r="C12">
        <v>16900</v>
      </c>
      <c r="D12" t="s">
        <v>49</v>
      </c>
      <c r="E12" t="s">
        <v>24</v>
      </c>
      <c r="F12">
        <v>134</v>
      </c>
      <c r="G12">
        <v>-51</v>
      </c>
      <c r="H12">
        <v>-27.567567567567568</v>
      </c>
      <c r="I12">
        <v>200</v>
      </c>
      <c r="J12">
        <v>17.27</v>
      </c>
      <c r="K12">
        <v>6.7</v>
      </c>
      <c r="L12">
        <v>-2.95</v>
      </c>
      <c r="M12">
        <v>-30.569948186528499</v>
      </c>
      <c r="N12">
        <v>18665.5</v>
      </c>
      <c r="O12">
        <v>16900</v>
      </c>
      <c r="P12" t="s">
        <v>49</v>
      </c>
      <c r="Q12" t="s">
        <v>24</v>
      </c>
      <c r="R12">
        <v>15</v>
      </c>
      <c r="S12">
        <v>0</v>
      </c>
      <c r="T12">
        <v>0</v>
      </c>
      <c r="U12">
        <v>0</v>
      </c>
      <c r="V12">
        <v>0</v>
      </c>
      <c r="W12">
        <v>2000</v>
      </c>
      <c r="X12">
        <v>0</v>
      </c>
      <c r="Y12">
        <v>0</v>
      </c>
      <c r="Z12">
        <v>18665.5</v>
      </c>
    </row>
    <row r="13" spans="1:26" x14ac:dyDescent="0.25">
      <c r="A13">
        <v>16950</v>
      </c>
      <c r="B13" t="s">
        <v>49</v>
      </c>
      <c r="C13">
        <v>16950</v>
      </c>
      <c r="D13" t="s">
        <v>49</v>
      </c>
      <c r="E13" t="s">
        <v>24</v>
      </c>
      <c r="F13">
        <v>20</v>
      </c>
      <c r="G13">
        <v>3</v>
      </c>
      <c r="H13">
        <v>17.647058823529413</v>
      </c>
      <c r="I13">
        <v>38</v>
      </c>
      <c r="J13">
        <v>17.25</v>
      </c>
      <c r="K13">
        <v>7.75</v>
      </c>
      <c r="L13">
        <v>-1.6500000000000004</v>
      </c>
      <c r="M13">
        <v>-17.553191489361705</v>
      </c>
      <c r="N13">
        <v>18665.5</v>
      </c>
      <c r="O13">
        <v>16950</v>
      </c>
      <c r="P13" t="s">
        <v>49</v>
      </c>
      <c r="Q13" t="s">
        <v>24</v>
      </c>
      <c r="R13">
        <v>3</v>
      </c>
      <c r="S13">
        <v>0</v>
      </c>
      <c r="T13">
        <v>0</v>
      </c>
      <c r="U13">
        <v>0</v>
      </c>
      <c r="V13">
        <v>0</v>
      </c>
      <c r="W13">
        <v>2019.7</v>
      </c>
      <c r="X13">
        <v>0</v>
      </c>
      <c r="Y13">
        <v>0</v>
      </c>
      <c r="Z13">
        <v>18665.5</v>
      </c>
    </row>
    <row r="14" spans="1:26" x14ac:dyDescent="0.25">
      <c r="A14">
        <v>17000</v>
      </c>
      <c r="B14" t="s">
        <v>49</v>
      </c>
      <c r="C14">
        <v>17000</v>
      </c>
      <c r="D14" t="s">
        <v>49</v>
      </c>
      <c r="E14" t="s">
        <v>24</v>
      </c>
      <c r="F14">
        <v>18458</v>
      </c>
      <c r="G14">
        <v>3226</v>
      </c>
      <c r="H14">
        <v>21.179096638655466</v>
      </c>
      <c r="I14">
        <v>25365</v>
      </c>
      <c r="J14">
        <v>16.79</v>
      </c>
      <c r="K14">
        <v>7.5</v>
      </c>
      <c r="L14">
        <v>-2.9000000000000004</v>
      </c>
      <c r="M14">
        <v>-27.884615384615387</v>
      </c>
      <c r="N14">
        <v>18665.5</v>
      </c>
      <c r="O14">
        <v>17000</v>
      </c>
      <c r="P14" t="s">
        <v>49</v>
      </c>
      <c r="Q14" t="s">
        <v>24</v>
      </c>
      <c r="R14">
        <v>2092</v>
      </c>
      <c r="S14">
        <v>696</v>
      </c>
      <c r="T14">
        <v>49.856733524355299</v>
      </c>
      <c r="U14">
        <v>1206</v>
      </c>
      <c r="V14">
        <v>0</v>
      </c>
      <c r="W14">
        <v>1786.55</v>
      </c>
      <c r="X14">
        <v>-125.85000000000014</v>
      </c>
      <c r="Y14">
        <v>-6.5807362476469429</v>
      </c>
      <c r="Z14">
        <v>18665.5</v>
      </c>
    </row>
    <row r="15" spans="1:26" x14ac:dyDescent="0.25">
      <c r="A15">
        <v>17050</v>
      </c>
      <c r="B15" t="s">
        <v>49</v>
      </c>
      <c r="C15">
        <v>17050</v>
      </c>
      <c r="D15" t="s">
        <v>49</v>
      </c>
      <c r="E15" t="s">
        <v>24</v>
      </c>
      <c r="F15">
        <v>23</v>
      </c>
      <c r="G15">
        <v>6</v>
      </c>
      <c r="H15">
        <v>35.294117647058826</v>
      </c>
      <c r="I15">
        <v>27</v>
      </c>
      <c r="J15">
        <v>16.66</v>
      </c>
      <c r="K15">
        <v>8.4499999999999993</v>
      </c>
      <c r="L15">
        <v>0.29999999999999893</v>
      </c>
      <c r="M15">
        <v>3.6809815950920122</v>
      </c>
      <c r="N15">
        <v>18665.5</v>
      </c>
      <c r="O15">
        <v>17050</v>
      </c>
      <c r="P15" t="s">
        <v>49</v>
      </c>
      <c r="Q15" t="s">
        <v>24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18665.5</v>
      </c>
    </row>
    <row r="16" spans="1:26" x14ac:dyDescent="0.25">
      <c r="A16">
        <v>17100</v>
      </c>
      <c r="B16" t="s">
        <v>49</v>
      </c>
      <c r="C16">
        <v>17100</v>
      </c>
      <c r="D16" t="s">
        <v>49</v>
      </c>
      <c r="E16" t="s">
        <v>24</v>
      </c>
      <c r="F16">
        <v>257</v>
      </c>
      <c r="G16">
        <v>90</v>
      </c>
      <c r="H16">
        <v>53.892215568862277</v>
      </c>
      <c r="I16">
        <v>319</v>
      </c>
      <c r="J16">
        <v>16.260000000000002</v>
      </c>
      <c r="K16">
        <v>8.5</v>
      </c>
      <c r="L16">
        <v>-2.25</v>
      </c>
      <c r="M16">
        <v>-20.930232558139537</v>
      </c>
      <c r="N16">
        <v>18665.5</v>
      </c>
      <c r="O16">
        <v>17100</v>
      </c>
      <c r="P16" t="s">
        <v>49</v>
      </c>
      <c r="Q16" t="s">
        <v>24</v>
      </c>
      <c r="R16">
        <v>5</v>
      </c>
      <c r="S16">
        <v>0</v>
      </c>
      <c r="T16">
        <v>0</v>
      </c>
      <c r="U16">
        <v>0</v>
      </c>
      <c r="V16">
        <v>0</v>
      </c>
      <c r="W16">
        <v>1815.25</v>
      </c>
      <c r="X16">
        <v>0</v>
      </c>
      <c r="Y16">
        <v>0</v>
      </c>
      <c r="Z16">
        <v>18665.5</v>
      </c>
    </row>
    <row r="17" spans="1:26" x14ac:dyDescent="0.25">
      <c r="A17">
        <v>17150</v>
      </c>
      <c r="B17" t="s">
        <v>49</v>
      </c>
      <c r="C17">
        <v>17150</v>
      </c>
      <c r="D17" t="s">
        <v>49</v>
      </c>
      <c r="E17" t="s">
        <v>24</v>
      </c>
      <c r="F17">
        <v>54</v>
      </c>
      <c r="G17">
        <v>-5</v>
      </c>
      <c r="H17">
        <v>-8.4745762711864412</v>
      </c>
      <c r="I17">
        <v>19</v>
      </c>
      <c r="J17">
        <v>16.04</v>
      </c>
      <c r="K17">
        <v>9.15</v>
      </c>
      <c r="L17">
        <v>-1.6500000000000004</v>
      </c>
      <c r="M17">
        <v>-15.27777777777778</v>
      </c>
      <c r="N17">
        <v>18665.5</v>
      </c>
      <c r="O17">
        <v>17150</v>
      </c>
      <c r="P17" t="s">
        <v>49</v>
      </c>
      <c r="Q17" t="s">
        <v>24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18665.5</v>
      </c>
    </row>
    <row r="18" spans="1:26" x14ac:dyDescent="0.25">
      <c r="A18">
        <v>17200</v>
      </c>
      <c r="B18" t="s">
        <v>49</v>
      </c>
      <c r="C18">
        <v>17200</v>
      </c>
      <c r="D18" t="s">
        <v>49</v>
      </c>
      <c r="E18" t="s">
        <v>24</v>
      </c>
      <c r="F18">
        <v>2527</v>
      </c>
      <c r="G18">
        <v>176</v>
      </c>
      <c r="H18">
        <v>7.4861760952786049</v>
      </c>
      <c r="I18">
        <v>3800</v>
      </c>
      <c r="J18">
        <v>15.93</v>
      </c>
      <c r="K18">
        <v>10.25</v>
      </c>
      <c r="L18">
        <v>-1.5999999999999996</v>
      </c>
      <c r="M18">
        <v>-13.502109704641349</v>
      </c>
      <c r="N18">
        <v>18665.5</v>
      </c>
      <c r="O18">
        <v>17200</v>
      </c>
      <c r="P18" t="s">
        <v>49</v>
      </c>
      <c r="Q18" t="s">
        <v>24</v>
      </c>
      <c r="R18">
        <v>224</v>
      </c>
      <c r="S18">
        <v>4</v>
      </c>
      <c r="T18">
        <v>1.8181818181818179</v>
      </c>
      <c r="U18">
        <v>55</v>
      </c>
      <c r="V18">
        <v>0</v>
      </c>
      <c r="W18">
        <v>1613.55</v>
      </c>
      <c r="X18">
        <v>-118.95000000000005</v>
      </c>
      <c r="Y18">
        <v>-6.8658008658008685</v>
      </c>
      <c r="Z18">
        <v>18665.5</v>
      </c>
    </row>
    <row r="19" spans="1:26" x14ac:dyDescent="0.25">
      <c r="A19">
        <v>17250</v>
      </c>
      <c r="B19" t="s">
        <v>49</v>
      </c>
      <c r="C19">
        <v>17250</v>
      </c>
      <c r="D19" t="s">
        <v>49</v>
      </c>
      <c r="E19" t="s">
        <v>24</v>
      </c>
      <c r="F19">
        <v>133</v>
      </c>
      <c r="G19">
        <v>-21</v>
      </c>
      <c r="H19">
        <v>-13.636363636363637</v>
      </c>
      <c r="I19">
        <v>85</v>
      </c>
      <c r="J19">
        <v>15.57</v>
      </c>
      <c r="K19">
        <v>10.5</v>
      </c>
      <c r="L19">
        <v>-1.5999999999999996</v>
      </c>
      <c r="M19">
        <v>-13.223140495867764</v>
      </c>
      <c r="N19">
        <v>18665.5</v>
      </c>
      <c r="O19">
        <v>17250</v>
      </c>
      <c r="P19" t="s">
        <v>49</v>
      </c>
      <c r="Q19" t="s">
        <v>24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18665.5</v>
      </c>
    </row>
    <row r="20" spans="1:26" x14ac:dyDescent="0.25">
      <c r="A20">
        <v>17300</v>
      </c>
      <c r="B20" t="s">
        <v>49</v>
      </c>
      <c r="C20">
        <v>17300</v>
      </c>
      <c r="D20" t="s">
        <v>49</v>
      </c>
      <c r="E20" t="s">
        <v>24</v>
      </c>
      <c r="F20">
        <v>2578</v>
      </c>
      <c r="G20">
        <v>291</v>
      </c>
      <c r="H20">
        <v>12.724092697857456</v>
      </c>
      <c r="I20">
        <v>2016</v>
      </c>
      <c r="J20">
        <v>15.3</v>
      </c>
      <c r="K20">
        <v>13.75</v>
      </c>
      <c r="L20">
        <v>0.84999999999999964</v>
      </c>
      <c r="M20">
        <v>6.589147286821702</v>
      </c>
      <c r="N20">
        <v>18665.5</v>
      </c>
      <c r="O20">
        <v>17300</v>
      </c>
      <c r="P20" t="s">
        <v>49</v>
      </c>
      <c r="Q20" t="s">
        <v>24</v>
      </c>
      <c r="R20">
        <v>92</v>
      </c>
      <c r="S20">
        <v>17</v>
      </c>
      <c r="T20">
        <v>22.666666666666668</v>
      </c>
      <c r="U20">
        <v>24</v>
      </c>
      <c r="V20">
        <v>0</v>
      </c>
      <c r="W20">
        <v>1520.95</v>
      </c>
      <c r="X20">
        <v>-95.75</v>
      </c>
      <c r="Y20">
        <v>-5.9225582977670559</v>
      </c>
      <c r="Z20">
        <v>18665.5</v>
      </c>
    </row>
    <row r="21" spans="1:26" x14ac:dyDescent="0.25">
      <c r="A21">
        <v>17350</v>
      </c>
      <c r="B21" t="s">
        <v>49</v>
      </c>
      <c r="C21">
        <v>17350</v>
      </c>
      <c r="D21" t="s">
        <v>49</v>
      </c>
      <c r="E21" t="s">
        <v>24</v>
      </c>
      <c r="F21">
        <v>92</v>
      </c>
      <c r="G21">
        <v>16</v>
      </c>
      <c r="H21">
        <v>21.05263157894737</v>
      </c>
      <c r="I21">
        <v>76</v>
      </c>
      <c r="J21">
        <v>15.18</v>
      </c>
      <c r="K21">
        <v>12.5</v>
      </c>
      <c r="L21">
        <v>-1.3000000000000007</v>
      </c>
      <c r="M21">
        <v>-9.4202898550724683</v>
      </c>
      <c r="N21">
        <v>18665.5</v>
      </c>
      <c r="O21">
        <v>17350</v>
      </c>
      <c r="P21" t="s">
        <v>49</v>
      </c>
      <c r="Q21" t="s">
        <v>24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18665.5</v>
      </c>
    </row>
    <row r="22" spans="1:26" x14ac:dyDescent="0.25">
      <c r="A22">
        <v>17400</v>
      </c>
      <c r="B22" t="s">
        <v>49</v>
      </c>
      <c r="C22">
        <v>17400</v>
      </c>
      <c r="D22" t="s">
        <v>49</v>
      </c>
      <c r="E22" t="s">
        <v>24</v>
      </c>
      <c r="F22">
        <v>3667</v>
      </c>
      <c r="G22">
        <v>462</v>
      </c>
      <c r="H22">
        <v>14.414976599063962</v>
      </c>
      <c r="I22">
        <v>4352</v>
      </c>
      <c r="J22">
        <v>14.86</v>
      </c>
      <c r="K22">
        <v>13.05</v>
      </c>
      <c r="L22">
        <v>-1.0499999999999989</v>
      </c>
      <c r="M22">
        <v>-7.4468085106382906</v>
      </c>
      <c r="N22">
        <v>18665.5</v>
      </c>
      <c r="O22">
        <v>17400</v>
      </c>
      <c r="P22" t="s">
        <v>49</v>
      </c>
      <c r="Q22" t="s">
        <v>24</v>
      </c>
      <c r="R22">
        <v>9</v>
      </c>
      <c r="S22">
        <v>0</v>
      </c>
      <c r="T22">
        <v>0</v>
      </c>
      <c r="U22">
        <v>1</v>
      </c>
      <c r="V22">
        <v>15.1</v>
      </c>
      <c r="W22">
        <v>1441.05</v>
      </c>
      <c r="X22">
        <v>-119.04999999999995</v>
      </c>
      <c r="Y22">
        <v>-7.6309210948016126</v>
      </c>
      <c r="Z22">
        <v>18665.5</v>
      </c>
    </row>
    <row r="23" spans="1:26" x14ac:dyDescent="0.25">
      <c r="A23">
        <v>17450</v>
      </c>
      <c r="B23" t="s">
        <v>49</v>
      </c>
      <c r="C23">
        <v>17450</v>
      </c>
      <c r="D23" t="s">
        <v>49</v>
      </c>
      <c r="E23" t="s">
        <v>24</v>
      </c>
      <c r="F23">
        <v>157</v>
      </c>
      <c r="G23">
        <v>-6</v>
      </c>
      <c r="H23">
        <v>-3.6809815950920246</v>
      </c>
      <c r="I23">
        <v>44</v>
      </c>
      <c r="J23">
        <v>14.69</v>
      </c>
      <c r="K23">
        <v>14.4</v>
      </c>
      <c r="L23">
        <v>-1.0499999999999989</v>
      </c>
      <c r="M23">
        <v>-6.7961165048543615</v>
      </c>
      <c r="N23">
        <v>18665.5</v>
      </c>
      <c r="O23">
        <v>17450</v>
      </c>
      <c r="P23" t="s">
        <v>49</v>
      </c>
      <c r="Q23" t="s">
        <v>24</v>
      </c>
      <c r="R23">
        <v>4</v>
      </c>
      <c r="S23">
        <v>1</v>
      </c>
      <c r="T23">
        <v>33.333333333333336</v>
      </c>
      <c r="U23">
        <v>1</v>
      </c>
      <c r="V23">
        <v>25.71</v>
      </c>
      <c r="W23">
        <v>1500</v>
      </c>
      <c r="X23">
        <v>-12.049999999999956</v>
      </c>
      <c r="Y23">
        <v>-0.79693131840877973</v>
      </c>
      <c r="Z23">
        <v>18665.5</v>
      </c>
    </row>
    <row r="24" spans="1:26" x14ac:dyDescent="0.25">
      <c r="A24">
        <v>17500</v>
      </c>
      <c r="B24" t="s">
        <v>49</v>
      </c>
      <c r="C24">
        <v>17500</v>
      </c>
      <c r="D24" t="s">
        <v>49</v>
      </c>
      <c r="E24" t="s">
        <v>24</v>
      </c>
      <c r="F24">
        <v>22730</v>
      </c>
      <c r="G24">
        <v>2210</v>
      </c>
      <c r="H24">
        <v>10.769980506822613</v>
      </c>
      <c r="I24">
        <v>18489</v>
      </c>
      <c r="J24">
        <v>14.53</v>
      </c>
      <c r="K24">
        <v>15.9</v>
      </c>
      <c r="L24">
        <v>-1.6500000000000004</v>
      </c>
      <c r="M24">
        <v>-9.4017094017094038</v>
      </c>
      <c r="N24">
        <v>18665.5</v>
      </c>
      <c r="O24">
        <v>17500</v>
      </c>
      <c r="P24" t="s">
        <v>49</v>
      </c>
      <c r="Q24" t="s">
        <v>24</v>
      </c>
      <c r="R24">
        <v>1901</v>
      </c>
      <c r="S24">
        <v>266</v>
      </c>
      <c r="T24">
        <v>16.269113149847094</v>
      </c>
      <c r="U24">
        <v>736</v>
      </c>
      <c r="V24">
        <v>0</v>
      </c>
      <c r="W24">
        <v>1297.25</v>
      </c>
      <c r="X24">
        <v>-129</v>
      </c>
      <c r="Y24">
        <v>-9.0446976336546872</v>
      </c>
      <c r="Z24">
        <v>18665.5</v>
      </c>
    </row>
    <row r="25" spans="1:26" x14ac:dyDescent="0.25">
      <c r="A25">
        <v>17550</v>
      </c>
      <c r="B25" t="s">
        <v>49</v>
      </c>
      <c r="C25">
        <v>17550</v>
      </c>
      <c r="D25" t="s">
        <v>49</v>
      </c>
      <c r="E25" t="s">
        <v>24</v>
      </c>
      <c r="F25">
        <v>415</v>
      </c>
      <c r="G25">
        <v>-29</v>
      </c>
      <c r="H25">
        <v>-6.5315315315315319</v>
      </c>
      <c r="I25">
        <v>326</v>
      </c>
      <c r="J25">
        <v>14.24</v>
      </c>
      <c r="K25">
        <v>16.850000000000001</v>
      </c>
      <c r="L25">
        <v>-1.5</v>
      </c>
      <c r="M25">
        <v>-8.1743869209809272</v>
      </c>
      <c r="N25">
        <v>18665.5</v>
      </c>
      <c r="O25">
        <v>17550</v>
      </c>
      <c r="P25" t="s">
        <v>49</v>
      </c>
      <c r="Q25" t="s">
        <v>24</v>
      </c>
      <c r="R25">
        <v>2</v>
      </c>
      <c r="S25">
        <v>0</v>
      </c>
      <c r="T25">
        <v>0</v>
      </c>
      <c r="U25">
        <v>0</v>
      </c>
      <c r="V25">
        <v>0</v>
      </c>
      <c r="W25">
        <v>915.85</v>
      </c>
      <c r="X25">
        <v>0</v>
      </c>
      <c r="Y25">
        <v>0</v>
      </c>
      <c r="Z25">
        <v>18665.5</v>
      </c>
    </row>
    <row r="26" spans="1:26" x14ac:dyDescent="0.25">
      <c r="A26">
        <v>17600</v>
      </c>
      <c r="B26" t="s">
        <v>49</v>
      </c>
      <c r="C26">
        <v>17600</v>
      </c>
      <c r="D26" t="s">
        <v>49</v>
      </c>
      <c r="E26" t="s">
        <v>24</v>
      </c>
      <c r="F26">
        <v>7426</v>
      </c>
      <c r="G26">
        <v>684</v>
      </c>
      <c r="H26">
        <v>10.145357460694155</v>
      </c>
      <c r="I26">
        <v>4870</v>
      </c>
      <c r="J26">
        <v>14.07</v>
      </c>
      <c r="K26">
        <v>19.149999999999999</v>
      </c>
      <c r="L26">
        <v>0.14999999999999858</v>
      </c>
      <c r="M26">
        <v>0.78947368421051889</v>
      </c>
      <c r="N26">
        <v>18665.5</v>
      </c>
      <c r="O26">
        <v>17600</v>
      </c>
      <c r="P26" t="s">
        <v>49</v>
      </c>
      <c r="Q26" t="s">
        <v>24</v>
      </c>
      <c r="R26">
        <v>123</v>
      </c>
      <c r="S26">
        <v>41</v>
      </c>
      <c r="T26">
        <v>50</v>
      </c>
      <c r="U26">
        <v>47</v>
      </c>
      <c r="V26">
        <v>0</v>
      </c>
      <c r="W26">
        <v>1205</v>
      </c>
      <c r="X26">
        <v>-114.95000000000005</v>
      </c>
      <c r="Y26">
        <v>-8.7086632069396597</v>
      </c>
      <c r="Z26">
        <v>18665.5</v>
      </c>
    </row>
    <row r="27" spans="1:26" x14ac:dyDescent="0.25">
      <c r="A27">
        <v>17650</v>
      </c>
      <c r="B27" t="s">
        <v>49</v>
      </c>
      <c r="C27">
        <v>17650</v>
      </c>
      <c r="D27" t="s">
        <v>49</v>
      </c>
      <c r="E27" t="s">
        <v>24</v>
      </c>
      <c r="F27">
        <v>235</v>
      </c>
      <c r="G27">
        <v>86</v>
      </c>
      <c r="H27">
        <v>57.718120805369125</v>
      </c>
      <c r="I27">
        <v>650</v>
      </c>
      <c r="J27">
        <v>13.87</v>
      </c>
      <c r="K27">
        <v>20.6</v>
      </c>
      <c r="L27">
        <v>0</v>
      </c>
      <c r="M27">
        <v>0</v>
      </c>
      <c r="N27">
        <v>18665.5</v>
      </c>
      <c r="O27">
        <v>17650</v>
      </c>
      <c r="P27" t="s">
        <v>49</v>
      </c>
      <c r="Q27" t="s">
        <v>24</v>
      </c>
      <c r="R27">
        <v>4</v>
      </c>
      <c r="S27">
        <v>0</v>
      </c>
      <c r="T27">
        <v>0</v>
      </c>
      <c r="U27">
        <v>0</v>
      </c>
      <c r="V27">
        <v>0</v>
      </c>
      <c r="W27">
        <v>1333.1</v>
      </c>
      <c r="X27">
        <v>0</v>
      </c>
      <c r="Y27">
        <v>0</v>
      </c>
      <c r="Z27">
        <v>18665.5</v>
      </c>
    </row>
    <row r="28" spans="1:26" x14ac:dyDescent="0.25">
      <c r="A28">
        <v>17700</v>
      </c>
      <c r="B28" t="s">
        <v>49</v>
      </c>
      <c r="C28">
        <v>17700</v>
      </c>
      <c r="D28" t="s">
        <v>49</v>
      </c>
      <c r="E28" t="s">
        <v>24</v>
      </c>
      <c r="F28">
        <v>9756</v>
      </c>
      <c r="G28">
        <v>1005</v>
      </c>
      <c r="H28">
        <v>11.484401782653411</v>
      </c>
      <c r="I28">
        <v>5282</v>
      </c>
      <c r="J28">
        <v>13.77</v>
      </c>
      <c r="K28">
        <v>24</v>
      </c>
      <c r="L28">
        <v>0.85000000000000142</v>
      </c>
      <c r="M28">
        <v>3.6717062634989266</v>
      </c>
      <c r="N28">
        <v>18665.5</v>
      </c>
      <c r="O28">
        <v>17700</v>
      </c>
      <c r="P28" t="s">
        <v>49</v>
      </c>
      <c r="Q28" t="s">
        <v>24</v>
      </c>
      <c r="R28">
        <v>436</v>
      </c>
      <c r="S28">
        <v>191</v>
      </c>
      <c r="T28">
        <v>77.959183673469383</v>
      </c>
      <c r="U28">
        <v>257</v>
      </c>
      <c r="V28">
        <v>0</v>
      </c>
      <c r="W28">
        <v>1109.7</v>
      </c>
      <c r="X28">
        <v>-130.29999999999995</v>
      </c>
      <c r="Y28">
        <v>-10.508064516129028</v>
      </c>
      <c r="Z28">
        <v>18665.5</v>
      </c>
    </row>
    <row r="29" spans="1:26" x14ac:dyDescent="0.25">
      <c r="A29">
        <v>17750</v>
      </c>
      <c r="B29" t="s">
        <v>49</v>
      </c>
      <c r="C29">
        <v>17750</v>
      </c>
      <c r="D29" t="s">
        <v>49</v>
      </c>
      <c r="E29" t="s">
        <v>24</v>
      </c>
      <c r="F29">
        <v>393</v>
      </c>
      <c r="G29">
        <v>98</v>
      </c>
      <c r="H29">
        <v>33.220338983050844</v>
      </c>
      <c r="I29">
        <v>509</v>
      </c>
      <c r="J29">
        <v>13.63</v>
      </c>
      <c r="K29">
        <v>25.7</v>
      </c>
      <c r="L29">
        <v>0.34999999999999787</v>
      </c>
      <c r="M29">
        <v>1.3806706114398335</v>
      </c>
      <c r="N29">
        <v>18665.5</v>
      </c>
      <c r="O29">
        <v>17750</v>
      </c>
      <c r="P29" t="s">
        <v>49</v>
      </c>
      <c r="Q29" t="s">
        <v>24</v>
      </c>
      <c r="R29">
        <v>8</v>
      </c>
      <c r="S29">
        <v>0</v>
      </c>
      <c r="T29">
        <v>0</v>
      </c>
      <c r="U29">
        <v>0</v>
      </c>
      <c r="V29">
        <v>0</v>
      </c>
      <c r="W29">
        <v>1294.3499999999999</v>
      </c>
      <c r="X29">
        <v>0</v>
      </c>
      <c r="Y29">
        <v>0</v>
      </c>
      <c r="Z29">
        <v>18665.5</v>
      </c>
    </row>
    <row r="30" spans="1:26" x14ac:dyDescent="0.25">
      <c r="A30">
        <v>17800</v>
      </c>
      <c r="B30" t="s">
        <v>49</v>
      </c>
      <c r="C30">
        <v>17800</v>
      </c>
      <c r="D30" t="s">
        <v>49</v>
      </c>
      <c r="E30" t="s">
        <v>24</v>
      </c>
      <c r="F30">
        <v>13054</v>
      </c>
      <c r="G30">
        <v>1336</v>
      </c>
      <c r="H30">
        <v>11.40126301416624</v>
      </c>
      <c r="I30">
        <v>10979</v>
      </c>
      <c r="J30">
        <v>13.56</v>
      </c>
      <c r="K30">
        <v>28.9</v>
      </c>
      <c r="L30">
        <v>1.2999999999999972</v>
      </c>
      <c r="M30">
        <v>4.7101449275362217</v>
      </c>
      <c r="N30">
        <v>18665.5</v>
      </c>
      <c r="O30">
        <v>17800</v>
      </c>
      <c r="P30" t="s">
        <v>49</v>
      </c>
      <c r="Q30" t="s">
        <v>24</v>
      </c>
      <c r="R30">
        <v>321</v>
      </c>
      <c r="S30">
        <v>58</v>
      </c>
      <c r="T30">
        <v>22.053231939163499</v>
      </c>
      <c r="U30">
        <v>145</v>
      </c>
      <c r="V30">
        <v>0</v>
      </c>
      <c r="W30">
        <v>1018.35</v>
      </c>
      <c r="X30">
        <v>-111.60000000000002</v>
      </c>
      <c r="Y30">
        <v>-9.8765432098765462</v>
      </c>
      <c r="Z30">
        <v>18665.5</v>
      </c>
    </row>
    <row r="31" spans="1:26" x14ac:dyDescent="0.25">
      <c r="A31">
        <v>17850</v>
      </c>
      <c r="B31" t="s">
        <v>49</v>
      </c>
      <c r="C31">
        <v>17850</v>
      </c>
      <c r="D31" t="s">
        <v>49</v>
      </c>
      <c r="E31" t="s">
        <v>24</v>
      </c>
      <c r="F31">
        <v>443</v>
      </c>
      <c r="G31">
        <v>178</v>
      </c>
      <c r="H31">
        <v>67.169811320754718</v>
      </c>
      <c r="I31">
        <v>772</v>
      </c>
      <c r="J31">
        <v>13.38</v>
      </c>
      <c r="K31">
        <v>32.85</v>
      </c>
      <c r="L31">
        <v>2.5500000000000007</v>
      </c>
      <c r="M31">
        <v>8.415841584158418</v>
      </c>
      <c r="N31">
        <v>18665.5</v>
      </c>
      <c r="O31">
        <v>17850</v>
      </c>
      <c r="P31" t="s">
        <v>49</v>
      </c>
      <c r="Q31" t="s">
        <v>24</v>
      </c>
      <c r="R31">
        <v>31</v>
      </c>
      <c r="S31">
        <v>0</v>
      </c>
      <c r="T31">
        <v>0</v>
      </c>
      <c r="U31">
        <v>0</v>
      </c>
      <c r="V31">
        <v>0</v>
      </c>
      <c r="W31">
        <v>1140</v>
      </c>
      <c r="X31">
        <v>0</v>
      </c>
      <c r="Y31">
        <v>0</v>
      </c>
      <c r="Z31">
        <v>18665.5</v>
      </c>
    </row>
    <row r="32" spans="1:26" x14ac:dyDescent="0.25">
      <c r="A32">
        <v>17900</v>
      </c>
      <c r="B32" t="s">
        <v>49</v>
      </c>
      <c r="C32">
        <v>17900</v>
      </c>
      <c r="D32" t="s">
        <v>49</v>
      </c>
      <c r="E32" t="s">
        <v>24</v>
      </c>
      <c r="F32">
        <v>15807</v>
      </c>
      <c r="G32">
        <v>3960</v>
      </c>
      <c r="H32">
        <v>33.426183844011142</v>
      </c>
      <c r="I32">
        <v>14813</v>
      </c>
      <c r="J32">
        <v>13.35</v>
      </c>
      <c r="K32">
        <v>37.6</v>
      </c>
      <c r="L32">
        <v>3.3000000000000043</v>
      </c>
      <c r="M32">
        <v>9.6209912536443287</v>
      </c>
      <c r="N32">
        <v>18665.5</v>
      </c>
      <c r="O32">
        <v>17900</v>
      </c>
      <c r="P32" t="s">
        <v>49</v>
      </c>
      <c r="Q32" t="s">
        <v>24</v>
      </c>
      <c r="R32">
        <v>512</v>
      </c>
      <c r="S32">
        <v>21</v>
      </c>
      <c r="T32">
        <v>4.2769857433808554</v>
      </c>
      <c r="U32">
        <v>87</v>
      </c>
      <c r="V32">
        <v>7.33</v>
      </c>
      <c r="W32">
        <v>933</v>
      </c>
      <c r="X32">
        <v>-110.45000000000005</v>
      </c>
      <c r="Y32">
        <v>-10.585078345871873</v>
      </c>
      <c r="Z32">
        <v>18665.5</v>
      </c>
    </row>
    <row r="33" spans="1:26" x14ac:dyDescent="0.25">
      <c r="A33">
        <v>17950</v>
      </c>
      <c r="B33" t="s">
        <v>49</v>
      </c>
      <c r="C33">
        <v>17950</v>
      </c>
      <c r="D33" t="s">
        <v>49</v>
      </c>
      <c r="E33" t="s">
        <v>24</v>
      </c>
      <c r="F33">
        <v>937</v>
      </c>
      <c r="G33">
        <v>173</v>
      </c>
      <c r="H33">
        <v>22.643979057591626</v>
      </c>
      <c r="I33">
        <v>660</v>
      </c>
      <c r="J33">
        <v>13.26</v>
      </c>
      <c r="K33">
        <v>41.5</v>
      </c>
      <c r="L33">
        <v>4.1000000000000014</v>
      </c>
      <c r="M33">
        <v>10.96256684491979</v>
      </c>
      <c r="N33">
        <v>18665.5</v>
      </c>
      <c r="O33">
        <v>17950</v>
      </c>
      <c r="P33" t="s">
        <v>49</v>
      </c>
      <c r="Q33" t="s">
        <v>24</v>
      </c>
      <c r="R33">
        <v>38</v>
      </c>
      <c r="S33">
        <v>0</v>
      </c>
      <c r="T33">
        <v>0</v>
      </c>
      <c r="U33">
        <v>0</v>
      </c>
      <c r="V33">
        <v>0</v>
      </c>
      <c r="W33">
        <v>1019</v>
      </c>
      <c r="X33">
        <v>0</v>
      </c>
      <c r="Y33">
        <v>0</v>
      </c>
      <c r="Z33">
        <v>18665.5</v>
      </c>
    </row>
    <row r="34" spans="1:26" x14ac:dyDescent="0.25">
      <c r="A34">
        <v>18000</v>
      </c>
      <c r="B34" t="s">
        <v>49</v>
      </c>
      <c r="C34">
        <v>18000</v>
      </c>
      <c r="D34" t="s">
        <v>49</v>
      </c>
      <c r="E34" t="s">
        <v>24</v>
      </c>
      <c r="F34">
        <v>46180</v>
      </c>
      <c r="G34">
        <v>7283</v>
      </c>
      <c r="H34">
        <v>18.723809034115742</v>
      </c>
      <c r="I34">
        <v>48176</v>
      </c>
      <c r="J34">
        <v>13.1</v>
      </c>
      <c r="K34">
        <v>46.1</v>
      </c>
      <c r="L34">
        <v>3</v>
      </c>
      <c r="M34">
        <v>6.9605568445475638</v>
      </c>
      <c r="N34">
        <v>18665.5</v>
      </c>
      <c r="O34">
        <v>18000</v>
      </c>
      <c r="P34" t="s">
        <v>49</v>
      </c>
      <c r="Q34" t="s">
        <v>24</v>
      </c>
      <c r="R34">
        <v>6360</v>
      </c>
      <c r="S34">
        <v>117</v>
      </c>
      <c r="T34">
        <v>1.8740989908697741</v>
      </c>
      <c r="U34">
        <v>1874</v>
      </c>
      <c r="V34">
        <v>8.2100000000000009</v>
      </c>
      <c r="W34">
        <v>831.5</v>
      </c>
      <c r="X34">
        <v>-124.75</v>
      </c>
      <c r="Y34">
        <v>-13.045751633986926</v>
      </c>
      <c r="Z34">
        <v>18665.5</v>
      </c>
    </row>
    <row r="35" spans="1:26" x14ac:dyDescent="0.25">
      <c r="A35">
        <v>18050</v>
      </c>
      <c r="B35" t="s">
        <v>49</v>
      </c>
      <c r="C35">
        <v>18050</v>
      </c>
      <c r="D35" t="s">
        <v>49</v>
      </c>
      <c r="E35" t="s">
        <v>24</v>
      </c>
      <c r="F35">
        <v>677</v>
      </c>
      <c r="G35">
        <v>69</v>
      </c>
      <c r="H35">
        <v>11.348684210526317</v>
      </c>
      <c r="I35">
        <v>715</v>
      </c>
      <c r="J35">
        <v>12.97</v>
      </c>
      <c r="K35">
        <v>51.35</v>
      </c>
      <c r="L35">
        <v>4.8000000000000043</v>
      </c>
      <c r="M35">
        <v>10.311493018259943</v>
      </c>
      <c r="N35">
        <v>18665.5</v>
      </c>
      <c r="O35">
        <v>18050</v>
      </c>
      <c r="P35" t="s">
        <v>49</v>
      </c>
      <c r="Q35" t="s">
        <v>24</v>
      </c>
      <c r="R35">
        <v>80</v>
      </c>
      <c r="S35">
        <v>0</v>
      </c>
      <c r="T35">
        <v>0</v>
      </c>
      <c r="U35">
        <v>0</v>
      </c>
      <c r="V35">
        <v>0</v>
      </c>
      <c r="W35">
        <v>934.4</v>
      </c>
      <c r="X35">
        <v>0</v>
      </c>
      <c r="Y35">
        <v>0</v>
      </c>
      <c r="Z35">
        <v>18665.5</v>
      </c>
    </row>
    <row r="36" spans="1:26" x14ac:dyDescent="0.25">
      <c r="A36">
        <v>18100</v>
      </c>
      <c r="B36" t="s">
        <v>49</v>
      </c>
      <c r="C36">
        <v>18100</v>
      </c>
      <c r="D36" t="s">
        <v>49</v>
      </c>
      <c r="E36" t="s">
        <v>24</v>
      </c>
      <c r="F36">
        <v>14554</v>
      </c>
      <c r="G36">
        <v>2046</v>
      </c>
      <c r="H36">
        <v>16.35753118004477</v>
      </c>
      <c r="I36">
        <v>12965</v>
      </c>
      <c r="J36">
        <v>12.83</v>
      </c>
      <c r="K36">
        <v>57</v>
      </c>
      <c r="L36">
        <v>6.2000000000000028</v>
      </c>
      <c r="M36">
        <v>12.204724409448826</v>
      </c>
      <c r="N36">
        <v>18665.5</v>
      </c>
      <c r="O36">
        <v>18100</v>
      </c>
      <c r="P36" t="s">
        <v>49</v>
      </c>
      <c r="Q36" t="s">
        <v>24</v>
      </c>
      <c r="R36">
        <v>1426</v>
      </c>
      <c r="S36">
        <v>14</v>
      </c>
      <c r="T36">
        <v>0.99150141643059475</v>
      </c>
      <c r="U36">
        <v>142</v>
      </c>
      <c r="V36">
        <v>8.8699999999999992</v>
      </c>
      <c r="W36">
        <v>748.5</v>
      </c>
      <c r="X36">
        <v>-106.5</v>
      </c>
      <c r="Y36">
        <v>-12.456140350877194</v>
      </c>
      <c r="Z36">
        <v>18665.5</v>
      </c>
    </row>
    <row r="37" spans="1:26" x14ac:dyDescent="0.25">
      <c r="A37">
        <v>18150</v>
      </c>
      <c r="B37" t="s">
        <v>49</v>
      </c>
      <c r="C37">
        <v>18150</v>
      </c>
      <c r="D37" t="s">
        <v>49</v>
      </c>
      <c r="E37" t="s">
        <v>24</v>
      </c>
      <c r="F37">
        <v>744</v>
      </c>
      <c r="G37">
        <v>253</v>
      </c>
      <c r="H37">
        <v>51.527494908350306</v>
      </c>
      <c r="I37">
        <v>1061</v>
      </c>
      <c r="J37">
        <v>12.67</v>
      </c>
      <c r="K37">
        <v>63.05</v>
      </c>
      <c r="L37">
        <v>6.5999999999999943</v>
      </c>
      <c r="M37">
        <v>11.691762621789184</v>
      </c>
      <c r="N37">
        <v>18665.5</v>
      </c>
      <c r="O37">
        <v>18150</v>
      </c>
      <c r="P37" t="s">
        <v>49</v>
      </c>
      <c r="Q37" t="s">
        <v>24</v>
      </c>
      <c r="R37">
        <v>224</v>
      </c>
      <c r="S37">
        <v>159</v>
      </c>
      <c r="T37">
        <v>244.61538461538461</v>
      </c>
      <c r="U37">
        <v>228</v>
      </c>
      <c r="V37">
        <v>10.1</v>
      </c>
      <c r="W37">
        <v>714.8</v>
      </c>
      <c r="X37">
        <v>-159.15000000000009</v>
      </c>
      <c r="Y37">
        <v>-18.210423937296195</v>
      </c>
      <c r="Z37">
        <v>18665.5</v>
      </c>
    </row>
    <row r="38" spans="1:26" x14ac:dyDescent="0.25">
      <c r="A38">
        <v>18200</v>
      </c>
      <c r="B38" t="s">
        <v>49</v>
      </c>
      <c r="C38">
        <v>18200</v>
      </c>
      <c r="D38" t="s">
        <v>49</v>
      </c>
      <c r="E38" t="s">
        <v>24</v>
      </c>
      <c r="F38">
        <v>17533</v>
      </c>
      <c r="G38">
        <v>2584</v>
      </c>
      <c r="H38">
        <v>17.285437152986823</v>
      </c>
      <c r="I38">
        <v>16079</v>
      </c>
      <c r="J38">
        <v>12.58</v>
      </c>
      <c r="K38">
        <v>70.650000000000006</v>
      </c>
      <c r="L38">
        <v>8.8000000000000043</v>
      </c>
      <c r="M38">
        <v>14.227970897332264</v>
      </c>
      <c r="N38">
        <v>18665.5</v>
      </c>
      <c r="O38">
        <v>18200</v>
      </c>
      <c r="P38" t="s">
        <v>49</v>
      </c>
      <c r="Q38" t="s">
        <v>24</v>
      </c>
      <c r="R38">
        <v>3247</v>
      </c>
      <c r="S38">
        <v>158</v>
      </c>
      <c r="T38">
        <v>5.1149239235998705</v>
      </c>
      <c r="U38">
        <v>620</v>
      </c>
      <c r="V38">
        <v>9.5399999999999991</v>
      </c>
      <c r="W38">
        <v>664.95</v>
      </c>
      <c r="X38">
        <v>-110.84999999999992</v>
      </c>
      <c r="Y38">
        <v>-14.288476411446238</v>
      </c>
      <c r="Z38">
        <v>18665.5</v>
      </c>
    </row>
    <row r="39" spans="1:26" x14ac:dyDescent="0.25">
      <c r="A39">
        <v>18250</v>
      </c>
      <c r="B39" t="s">
        <v>49</v>
      </c>
      <c r="C39">
        <v>18250</v>
      </c>
      <c r="D39" t="s">
        <v>49</v>
      </c>
      <c r="E39" t="s">
        <v>24</v>
      </c>
      <c r="F39">
        <v>1082</v>
      </c>
      <c r="G39">
        <v>319</v>
      </c>
      <c r="H39">
        <v>41.808650065530799</v>
      </c>
      <c r="I39">
        <v>1162</v>
      </c>
      <c r="J39">
        <v>12.43</v>
      </c>
      <c r="K39">
        <v>78.099999999999994</v>
      </c>
      <c r="L39">
        <v>10.149999999999991</v>
      </c>
      <c r="M39">
        <v>14.937454010301678</v>
      </c>
      <c r="N39">
        <v>18665.5</v>
      </c>
      <c r="O39">
        <v>18250</v>
      </c>
      <c r="P39" t="s">
        <v>49</v>
      </c>
      <c r="Q39" t="s">
        <v>24</v>
      </c>
      <c r="R39">
        <v>74</v>
      </c>
      <c r="S39">
        <v>-3</v>
      </c>
      <c r="T39">
        <v>-3.8961038961038961</v>
      </c>
      <c r="U39">
        <v>10</v>
      </c>
      <c r="V39">
        <v>9.7899999999999991</v>
      </c>
      <c r="W39">
        <v>625</v>
      </c>
      <c r="X39">
        <v>-137.64999999999998</v>
      </c>
      <c r="Y39">
        <v>-18.048908411460037</v>
      </c>
      <c r="Z39">
        <v>18665.5</v>
      </c>
    </row>
    <row r="40" spans="1:26" x14ac:dyDescent="0.25">
      <c r="A40">
        <v>18300</v>
      </c>
      <c r="B40" t="s">
        <v>49</v>
      </c>
      <c r="C40">
        <v>18300</v>
      </c>
      <c r="D40" t="s">
        <v>49</v>
      </c>
      <c r="E40" t="s">
        <v>24</v>
      </c>
      <c r="F40">
        <v>16214</v>
      </c>
      <c r="G40">
        <v>927</v>
      </c>
      <c r="H40">
        <v>6.063975927258455</v>
      </c>
      <c r="I40">
        <v>15247</v>
      </c>
      <c r="J40">
        <v>12.35</v>
      </c>
      <c r="K40">
        <v>87.5</v>
      </c>
      <c r="L40">
        <v>11.5</v>
      </c>
      <c r="M40">
        <v>15.131578947368419</v>
      </c>
      <c r="N40">
        <v>18665.5</v>
      </c>
      <c r="O40">
        <v>18300</v>
      </c>
      <c r="P40" t="s">
        <v>49</v>
      </c>
      <c r="Q40" t="s">
        <v>24</v>
      </c>
      <c r="R40">
        <v>3560</v>
      </c>
      <c r="S40">
        <v>194</v>
      </c>
      <c r="T40">
        <v>5.763517528223411</v>
      </c>
      <c r="U40">
        <v>1449</v>
      </c>
      <c r="V40">
        <v>9.42</v>
      </c>
      <c r="W40">
        <v>578.20000000000005</v>
      </c>
      <c r="X40">
        <v>-114.64999999999998</v>
      </c>
      <c r="Y40">
        <v>-16.547593274157464</v>
      </c>
      <c r="Z40">
        <v>18665.5</v>
      </c>
    </row>
    <row r="41" spans="1:26" x14ac:dyDescent="0.25">
      <c r="A41">
        <v>18350</v>
      </c>
      <c r="B41" t="s">
        <v>49</v>
      </c>
      <c r="C41">
        <v>18350</v>
      </c>
      <c r="D41" t="s">
        <v>49</v>
      </c>
      <c r="E41" t="s">
        <v>24</v>
      </c>
      <c r="F41">
        <v>1276</v>
      </c>
      <c r="G41">
        <v>-152</v>
      </c>
      <c r="H41">
        <v>-10.644257703081232</v>
      </c>
      <c r="I41">
        <v>2445</v>
      </c>
      <c r="J41">
        <v>12.24</v>
      </c>
      <c r="K41">
        <v>97.3</v>
      </c>
      <c r="L41">
        <v>13.799999999999995</v>
      </c>
      <c r="M41">
        <v>16.526946107784426</v>
      </c>
      <c r="N41">
        <v>18665.5</v>
      </c>
      <c r="O41">
        <v>18350</v>
      </c>
      <c r="P41" t="s">
        <v>49</v>
      </c>
      <c r="Q41" t="s">
        <v>24</v>
      </c>
      <c r="R41">
        <v>94</v>
      </c>
      <c r="S41">
        <v>9</v>
      </c>
      <c r="T41">
        <v>10.588235294117649</v>
      </c>
      <c r="U41">
        <v>26</v>
      </c>
      <c r="V41">
        <v>9.61</v>
      </c>
      <c r="W41">
        <v>540</v>
      </c>
      <c r="X41">
        <v>-106.64999999999998</v>
      </c>
      <c r="Y41">
        <v>-16.492693110647178</v>
      </c>
      <c r="Z41">
        <v>18665.5</v>
      </c>
    </row>
    <row r="42" spans="1:26" x14ac:dyDescent="0.25">
      <c r="A42">
        <v>18400</v>
      </c>
      <c r="B42" t="s">
        <v>49</v>
      </c>
      <c r="C42">
        <v>18400</v>
      </c>
      <c r="D42" t="s">
        <v>49</v>
      </c>
      <c r="E42" t="s">
        <v>24</v>
      </c>
      <c r="F42">
        <v>17850</v>
      </c>
      <c r="G42">
        <v>3767</v>
      </c>
      <c r="H42">
        <v>26.748562096144287</v>
      </c>
      <c r="I42">
        <v>17994</v>
      </c>
      <c r="J42">
        <v>12.15</v>
      </c>
      <c r="K42">
        <v>108.5</v>
      </c>
      <c r="L42">
        <v>15</v>
      </c>
      <c r="M42">
        <v>16.042780748663102</v>
      </c>
      <c r="N42">
        <v>18665.5</v>
      </c>
      <c r="O42">
        <v>18400</v>
      </c>
      <c r="P42" t="s">
        <v>49</v>
      </c>
      <c r="Q42" t="s">
        <v>24</v>
      </c>
      <c r="R42">
        <v>2872</v>
      </c>
      <c r="S42">
        <v>80</v>
      </c>
      <c r="T42">
        <v>2.8653295128939829</v>
      </c>
      <c r="U42">
        <v>1422</v>
      </c>
      <c r="V42">
        <v>9.7100000000000009</v>
      </c>
      <c r="W42">
        <v>502</v>
      </c>
      <c r="X42">
        <v>-110.45000000000005</v>
      </c>
      <c r="Y42">
        <v>-18.034125234713045</v>
      </c>
      <c r="Z42">
        <v>18665.5</v>
      </c>
    </row>
    <row r="43" spans="1:26" x14ac:dyDescent="0.25">
      <c r="A43">
        <v>18450</v>
      </c>
      <c r="B43" t="s">
        <v>49</v>
      </c>
      <c r="C43">
        <v>18450</v>
      </c>
      <c r="D43" t="s">
        <v>49</v>
      </c>
      <c r="E43" t="s">
        <v>24</v>
      </c>
      <c r="F43">
        <v>739</v>
      </c>
      <c r="G43">
        <v>231</v>
      </c>
      <c r="H43">
        <v>45.472440944881889</v>
      </c>
      <c r="I43">
        <v>1078</v>
      </c>
      <c r="J43">
        <v>12.15</v>
      </c>
      <c r="K43">
        <v>120.5</v>
      </c>
      <c r="L43">
        <v>16.650000000000006</v>
      </c>
      <c r="M43">
        <v>16.032739528165628</v>
      </c>
      <c r="N43">
        <v>18665.5</v>
      </c>
      <c r="O43">
        <v>18450</v>
      </c>
      <c r="P43" t="s">
        <v>49</v>
      </c>
      <c r="Q43" t="s">
        <v>24</v>
      </c>
      <c r="R43">
        <v>68</v>
      </c>
      <c r="S43">
        <v>-2</v>
      </c>
      <c r="T43">
        <v>-2.8571428571428572</v>
      </c>
      <c r="U43">
        <v>69</v>
      </c>
      <c r="V43">
        <v>9.9600000000000009</v>
      </c>
      <c r="W43">
        <v>465.15</v>
      </c>
      <c r="X43">
        <v>-124.10000000000002</v>
      </c>
      <c r="Y43">
        <v>-21.060670343657193</v>
      </c>
      <c r="Z43">
        <v>18665.5</v>
      </c>
    </row>
    <row r="44" spans="1:26" x14ac:dyDescent="0.25">
      <c r="A44">
        <v>18500</v>
      </c>
      <c r="B44" t="s">
        <v>49</v>
      </c>
      <c r="C44">
        <v>18500</v>
      </c>
      <c r="D44" t="s">
        <v>49</v>
      </c>
      <c r="E44" t="s">
        <v>24</v>
      </c>
      <c r="F44">
        <v>46691</v>
      </c>
      <c r="G44">
        <v>9231</v>
      </c>
      <c r="H44">
        <v>24.642285104111053</v>
      </c>
      <c r="I44">
        <v>58826</v>
      </c>
      <c r="J44">
        <v>12.07</v>
      </c>
      <c r="K44">
        <v>135.80000000000001</v>
      </c>
      <c r="L44">
        <v>19.900000000000009</v>
      </c>
      <c r="M44">
        <v>17.169974115616917</v>
      </c>
      <c r="N44">
        <v>18665.5</v>
      </c>
      <c r="O44">
        <v>18500</v>
      </c>
      <c r="P44" t="s">
        <v>49</v>
      </c>
      <c r="Q44" t="s">
        <v>24</v>
      </c>
      <c r="R44">
        <v>11351</v>
      </c>
      <c r="S44">
        <v>2207</v>
      </c>
      <c r="T44">
        <v>24.136045494313212</v>
      </c>
      <c r="U44">
        <v>14321</v>
      </c>
      <c r="V44">
        <v>9.86</v>
      </c>
      <c r="W44">
        <v>430</v>
      </c>
      <c r="X44">
        <v>-103</v>
      </c>
      <c r="Y44">
        <v>-19.324577861163228</v>
      </c>
      <c r="Z44">
        <v>18665.5</v>
      </c>
    </row>
    <row r="45" spans="1:26" x14ac:dyDescent="0.25">
      <c r="A45">
        <v>18550</v>
      </c>
      <c r="B45" t="s">
        <v>49</v>
      </c>
      <c r="C45">
        <v>18550</v>
      </c>
      <c r="D45" t="s">
        <v>49</v>
      </c>
      <c r="E45" t="s">
        <v>24</v>
      </c>
      <c r="F45">
        <v>1022</v>
      </c>
      <c r="G45">
        <v>105</v>
      </c>
      <c r="H45">
        <v>11.450381679389311</v>
      </c>
      <c r="I45">
        <v>1622</v>
      </c>
      <c r="J45">
        <v>11.91</v>
      </c>
      <c r="K45">
        <v>148.94999999999999</v>
      </c>
      <c r="L45">
        <v>21.999999999999982</v>
      </c>
      <c r="M45">
        <v>17.329657345411569</v>
      </c>
      <c r="N45">
        <v>18665.5</v>
      </c>
      <c r="O45">
        <v>18550</v>
      </c>
      <c r="P45" t="s">
        <v>49</v>
      </c>
      <c r="Q45" t="s">
        <v>24</v>
      </c>
      <c r="R45">
        <v>137</v>
      </c>
      <c r="S45">
        <v>38</v>
      </c>
      <c r="T45">
        <v>38.383838383838381</v>
      </c>
      <c r="U45">
        <v>107</v>
      </c>
      <c r="V45">
        <v>9.92</v>
      </c>
      <c r="W45">
        <v>396.15</v>
      </c>
      <c r="X45">
        <v>-98.25</v>
      </c>
      <c r="Y45">
        <v>-19.872572815533982</v>
      </c>
      <c r="Z45">
        <v>18665.5</v>
      </c>
    </row>
    <row r="46" spans="1:26" x14ac:dyDescent="0.25">
      <c r="A46">
        <v>18600</v>
      </c>
      <c r="B46" t="s">
        <v>49</v>
      </c>
      <c r="C46">
        <v>18600</v>
      </c>
      <c r="D46" t="s">
        <v>49</v>
      </c>
      <c r="E46" t="s">
        <v>24</v>
      </c>
      <c r="F46">
        <v>21306</v>
      </c>
      <c r="G46">
        <v>6486</v>
      </c>
      <c r="H46">
        <v>43.765182186234817</v>
      </c>
      <c r="I46">
        <v>25305</v>
      </c>
      <c r="J46">
        <v>11.95</v>
      </c>
      <c r="K46">
        <v>169</v>
      </c>
      <c r="L46">
        <v>28.150000000000009</v>
      </c>
      <c r="M46">
        <v>19.985800496982613</v>
      </c>
      <c r="N46">
        <v>18665.5</v>
      </c>
      <c r="O46">
        <v>18600</v>
      </c>
      <c r="P46" t="s">
        <v>49</v>
      </c>
      <c r="Q46" t="s">
        <v>24</v>
      </c>
      <c r="R46">
        <v>6060</v>
      </c>
      <c r="S46">
        <v>2410</v>
      </c>
      <c r="T46">
        <v>66.027397260273972</v>
      </c>
      <c r="U46">
        <v>7560</v>
      </c>
      <c r="V46">
        <v>9.92</v>
      </c>
      <c r="W46">
        <v>363.6</v>
      </c>
      <c r="X46">
        <v>-96.45</v>
      </c>
      <c r="Y46">
        <v>-20.965112487773062</v>
      </c>
      <c r="Z46">
        <v>18665.5</v>
      </c>
    </row>
    <row r="47" spans="1:26" x14ac:dyDescent="0.25">
      <c r="A47">
        <v>18650</v>
      </c>
      <c r="B47" t="s">
        <v>49</v>
      </c>
      <c r="C47">
        <v>18650</v>
      </c>
      <c r="D47" t="s">
        <v>49</v>
      </c>
      <c r="E47" t="s">
        <v>24</v>
      </c>
      <c r="F47">
        <v>1053</v>
      </c>
      <c r="G47">
        <v>454</v>
      </c>
      <c r="H47">
        <v>75.792988313856426</v>
      </c>
      <c r="I47">
        <v>2861</v>
      </c>
      <c r="J47">
        <v>11.84</v>
      </c>
      <c r="K47">
        <v>184.05</v>
      </c>
      <c r="L47">
        <v>29.950000000000017</v>
      </c>
      <c r="M47">
        <v>19.435431537962376</v>
      </c>
      <c r="N47">
        <v>18665.5</v>
      </c>
      <c r="O47">
        <v>18650</v>
      </c>
      <c r="P47" t="s">
        <v>49</v>
      </c>
      <c r="Q47" t="s">
        <v>24</v>
      </c>
      <c r="R47">
        <v>703</v>
      </c>
      <c r="S47">
        <v>373</v>
      </c>
      <c r="T47">
        <v>113.03030303030305</v>
      </c>
      <c r="U47">
        <v>1578</v>
      </c>
      <c r="V47">
        <v>9.81</v>
      </c>
      <c r="W47">
        <v>328.55</v>
      </c>
      <c r="X47">
        <v>-96.95</v>
      </c>
      <c r="Y47">
        <v>-22.784958871915393</v>
      </c>
      <c r="Z47">
        <v>18665.5</v>
      </c>
    </row>
    <row r="48" spans="1:26" x14ac:dyDescent="0.25">
      <c r="A48">
        <v>18700</v>
      </c>
      <c r="B48" t="s">
        <v>49</v>
      </c>
      <c r="C48">
        <v>18700</v>
      </c>
      <c r="D48" t="s">
        <v>49</v>
      </c>
      <c r="E48" t="s">
        <v>24</v>
      </c>
      <c r="F48">
        <v>17546</v>
      </c>
      <c r="G48">
        <v>2365</v>
      </c>
      <c r="H48">
        <v>15.578683881167249</v>
      </c>
      <c r="I48">
        <v>33473</v>
      </c>
      <c r="J48">
        <v>11.72</v>
      </c>
      <c r="K48">
        <v>201.6</v>
      </c>
      <c r="L48">
        <v>31.25</v>
      </c>
      <c r="M48">
        <v>18.344584678602882</v>
      </c>
      <c r="N48">
        <v>18665.5</v>
      </c>
      <c r="O48">
        <v>18700</v>
      </c>
      <c r="P48" t="s">
        <v>49</v>
      </c>
      <c r="Q48" t="s">
        <v>24</v>
      </c>
      <c r="R48">
        <v>8302</v>
      </c>
      <c r="S48">
        <v>2586</v>
      </c>
      <c r="T48">
        <v>45.24142757172848</v>
      </c>
      <c r="U48">
        <v>15718</v>
      </c>
      <c r="V48">
        <v>9.76</v>
      </c>
      <c r="W48">
        <v>297.45</v>
      </c>
      <c r="X48">
        <v>-91.75</v>
      </c>
      <c r="Y48">
        <v>-23.573997944501546</v>
      </c>
      <c r="Z48">
        <v>18665.5</v>
      </c>
    </row>
    <row r="49" spans="1:26" x14ac:dyDescent="0.25">
      <c r="A49">
        <v>18750</v>
      </c>
      <c r="B49" t="s">
        <v>49</v>
      </c>
      <c r="C49">
        <v>18750</v>
      </c>
      <c r="D49" t="s">
        <v>49</v>
      </c>
      <c r="E49" t="s">
        <v>24</v>
      </c>
      <c r="F49">
        <v>1141</v>
      </c>
      <c r="G49">
        <v>118</v>
      </c>
      <c r="H49">
        <v>11.534701857282505</v>
      </c>
      <c r="I49">
        <v>5025</v>
      </c>
      <c r="J49">
        <v>11.57</v>
      </c>
      <c r="K49">
        <v>220.5</v>
      </c>
      <c r="L49">
        <v>33.650000000000006</v>
      </c>
      <c r="M49">
        <v>18.009098207118011</v>
      </c>
      <c r="N49">
        <v>18665.5</v>
      </c>
      <c r="O49">
        <v>18750</v>
      </c>
      <c r="P49" t="s">
        <v>49</v>
      </c>
      <c r="Q49" t="s">
        <v>24</v>
      </c>
      <c r="R49">
        <v>830</v>
      </c>
      <c r="S49">
        <v>141</v>
      </c>
      <c r="T49">
        <v>20.4644412191582</v>
      </c>
      <c r="U49">
        <v>2055</v>
      </c>
      <c r="V49">
        <v>9.68</v>
      </c>
      <c r="W49">
        <v>267</v>
      </c>
      <c r="X49">
        <v>-89.149999999999977</v>
      </c>
      <c r="Y49">
        <v>-25.031587814123256</v>
      </c>
      <c r="Z49">
        <v>18665.5</v>
      </c>
    </row>
    <row r="50" spans="1:26" x14ac:dyDescent="0.25">
      <c r="A50">
        <v>18800</v>
      </c>
      <c r="B50" t="s">
        <v>49</v>
      </c>
      <c r="C50">
        <v>18800</v>
      </c>
      <c r="D50" t="s">
        <v>49</v>
      </c>
      <c r="E50" t="s">
        <v>24</v>
      </c>
      <c r="F50">
        <v>14015</v>
      </c>
      <c r="G50">
        <v>1381</v>
      </c>
      <c r="H50">
        <v>10.930821592528099</v>
      </c>
      <c r="I50">
        <v>38176</v>
      </c>
      <c r="J50">
        <v>11.43</v>
      </c>
      <c r="K50">
        <v>240</v>
      </c>
      <c r="L50">
        <v>34.800000000000011</v>
      </c>
      <c r="M50">
        <v>16.959064327485386</v>
      </c>
      <c r="N50">
        <v>18665.5</v>
      </c>
      <c r="O50">
        <v>18800</v>
      </c>
      <c r="P50" t="s">
        <v>49</v>
      </c>
      <c r="Q50" t="s">
        <v>24</v>
      </c>
      <c r="R50">
        <v>14015</v>
      </c>
      <c r="S50">
        <v>6079</v>
      </c>
      <c r="T50">
        <v>76.600302419354833</v>
      </c>
      <c r="U50">
        <v>25429</v>
      </c>
      <c r="V50">
        <v>9.59</v>
      </c>
      <c r="W50">
        <v>238.1</v>
      </c>
      <c r="X50">
        <v>-86.15</v>
      </c>
      <c r="Y50">
        <v>-26.569005397070161</v>
      </c>
      <c r="Z50">
        <v>18665.5</v>
      </c>
    </row>
    <row r="51" spans="1:26" x14ac:dyDescent="0.25">
      <c r="A51">
        <v>18850</v>
      </c>
      <c r="B51" t="s">
        <v>49</v>
      </c>
      <c r="C51">
        <v>18850</v>
      </c>
      <c r="D51" t="s">
        <v>49</v>
      </c>
      <c r="E51" t="s">
        <v>24</v>
      </c>
      <c r="F51">
        <v>1115</v>
      </c>
      <c r="G51">
        <v>-48</v>
      </c>
      <c r="H51">
        <v>-4.1272570937231299</v>
      </c>
      <c r="I51">
        <v>1349</v>
      </c>
      <c r="J51">
        <v>11.47</v>
      </c>
      <c r="K51">
        <v>265.55</v>
      </c>
      <c r="L51">
        <v>42.75</v>
      </c>
      <c r="M51">
        <v>19.187612208258528</v>
      </c>
      <c r="N51">
        <v>18665.5</v>
      </c>
      <c r="O51">
        <v>18850</v>
      </c>
      <c r="P51" t="s">
        <v>49</v>
      </c>
      <c r="Q51" t="s">
        <v>24</v>
      </c>
      <c r="R51">
        <v>835</v>
      </c>
      <c r="S51">
        <v>61</v>
      </c>
      <c r="T51">
        <v>7.8811369509043931</v>
      </c>
      <c r="U51">
        <v>1730</v>
      </c>
      <c r="V51">
        <v>9.48</v>
      </c>
      <c r="W51">
        <v>210.6</v>
      </c>
      <c r="X51">
        <v>-83.549999999999983</v>
      </c>
      <c r="Y51">
        <v>-28.403875573686893</v>
      </c>
      <c r="Z51">
        <v>18665.5</v>
      </c>
    </row>
    <row r="52" spans="1:26" x14ac:dyDescent="0.25">
      <c r="A52">
        <v>18900</v>
      </c>
      <c r="B52" t="s">
        <v>49</v>
      </c>
      <c r="C52">
        <v>18900</v>
      </c>
      <c r="D52" t="s">
        <v>49</v>
      </c>
      <c r="E52" t="s">
        <v>24</v>
      </c>
      <c r="F52">
        <v>6141</v>
      </c>
      <c r="G52">
        <v>-413</v>
      </c>
      <c r="H52">
        <v>-6.3014952700640832</v>
      </c>
      <c r="I52">
        <v>8958</v>
      </c>
      <c r="J52">
        <v>11.44</v>
      </c>
      <c r="K52">
        <v>294.85000000000002</v>
      </c>
      <c r="L52">
        <v>50.700000000000017</v>
      </c>
      <c r="M52">
        <v>20.765922588572604</v>
      </c>
      <c r="N52">
        <v>18665.5</v>
      </c>
      <c r="O52">
        <v>18900</v>
      </c>
      <c r="P52" t="s">
        <v>49</v>
      </c>
      <c r="Q52" t="s">
        <v>24</v>
      </c>
      <c r="R52">
        <v>9378</v>
      </c>
      <c r="S52">
        <v>1950</v>
      </c>
      <c r="T52">
        <v>26.252019386106625</v>
      </c>
      <c r="U52">
        <v>13346</v>
      </c>
      <c r="V52">
        <v>9.4499999999999993</v>
      </c>
      <c r="W52">
        <v>189.95</v>
      </c>
      <c r="X52">
        <v>-74.650000000000034</v>
      </c>
      <c r="Y52">
        <v>-28.212396069538936</v>
      </c>
      <c r="Z52">
        <v>18665.5</v>
      </c>
    </row>
    <row r="53" spans="1:26" x14ac:dyDescent="0.25">
      <c r="A53">
        <v>18950</v>
      </c>
      <c r="B53" t="s">
        <v>49</v>
      </c>
      <c r="C53">
        <v>18950</v>
      </c>
      <c r="D53" t="s">
        <v>49</v>
      </c>
      <c r="E53" t="s">
        <v>24</v>
      </c>
      <c r="F53">
        <v>550</v>
      </c>
      <c r="G53">
        <v>-34</v>
      </c>
      <c r="H53">
        <v>-5.8219178082191778</v>
      </c>
      <c r="I53">
        <v>665</v>
      </c>
      <c r="J53">
        <v>11.15</v>
      </c>
      <c r="K53">
        <v>312.3</v>
      </c>
      <c r="L53">
        <v>45.199999999999989</v>
      </c>
      <c r="M53">
        <v>16.922500935979031</v>
      </c>
      <c r="N53">
        <v>18665.5</v>
      </c>
      <c r="O53">
        <v>18950</v>
      </c>
      <c r="P53" t="s">
        <v>49</v>
      </c>
      <c r="Q53" t="s">
        <v>24</v>
      </c>
      <c r="R53">
        <v>1122</v>
      </c>
      <c r="S53">
        <v>359</v>
      </c>
      <c r="T53">
        <v>47.05111402359109</v>
      </c>
      <c r="U53">
        <v>1097</v>
      </c>
      <c r="V53">
        <v>9.43</v>
      </c>
      <c r="W53">
        <v>165</v>
      </c>
      <c r="X53">
        <v>-72.75</v>
      </c>
      <c r="Y53">
        <v>-30.5993690851735</v>
      </c>
      <c r="Z53">
        <v>18665.5</v>
      </c>
    </row>
    <row r="54" spans="1:26" x14ac:dyDescent="0.25">
      <c r="A54">
        <v>19000</v>
      </c>
      <c r="B54" t="s">
        <v>49</v>
      </c>
      <c r="C54">
        <v>19000</v>
      </c>
      <c r="D54" t="s">
        <v>49</v>
      </c>
      <c r="E54" t="s">
        <v>24</v>
      </c>
      <c r="F54">
        <v>16635</v>
      </c>
      <c r="G54">
        <v>-1324</v>
      </c>
      <c r="H54">
        <v>-7.3723481262876556</v>
      </c>
      <c r="I54">
        <v>15947</v>
      </c>
      <c r="J54">
        <v>11.49</v>
      </c>
      <c r="K54">
        <v>349</v>
      </c>
      <c r="L54">
        <v>54.899999999999977</v>
      </c>
      <c r="M54">
        <v>18.667120027201623</v>
      </c>
      <c r="N54">
        <v>18665.5</v>
      </c>
      <c r="O54">
        <v>19000</v>
      </c>
      <c r="P54" t="s">
        <v>49</v>
      </c>
      <c r="Q54" t="s">
        <v>24</v>
      </c>
      <c r="R54">
        <v>36027</v>
      </c>
      <c r="S54">
        <v>2538</v>
      </c>
      <c r="T54">
        <v>7.5786079011018543</v>
      </c>
      <c r="U54">
        <v>40998</v>
      </c>
      <c r="V54">
        <v>9.51</v>
      </c>
      <c r="W54">
        <v>148.9</v>
      </c>
      <c r="X54">
        <v>-64.599999999999994</v>
      </c>
      <c r="Y54">
        <v>-30.257611241217795</v>
      </c>
      <c r="Z54">
        <v>18665.5</v>
      </c>
    </row>
    <row r="55" spans="1:26" x14ac:dyDescent="0.25">
      <c r="A55">
        <v>19050</v>
      </c>
      <c r="B55" t="s">
        <v>49</v>
      </c>
      <c r="C55">
        <v>19050</v>
      </c>
      <c r="D55" t="s">
        <v>49</v>
      </c>
      <c r="E55" t="s">
        <v>24</v>
      </c>
      <c r="F55">
        <v>987</v>
      </c>
      <c r="G55">
        <v>8</v>
      </c>
      <c r="H55">
        <v>0.81716036772216549</v>
      </c>
      <c r="I55">
        <v>109</v>
      </c>
      <c r="J55">
        <v>11.49</v>
      </c>
      <c r="K55">
        <v>379.55</v>
      </c>
      <c r="L55">
        <v>64.75</v>
      </c>
      <c r="M55">
        <v>20.568614993646761</v>
      </c>
      <c r="N55">
        <v>18665.5</v>
      </c>
      <c r="O55">
        <v>19050</v>
      </c>
      <c r="P55" t="s">
        <v>49</v>
      </c>
      <c r="Q55" t="s">
        <v>24</v>
      </c>
      <c r="R55">
        <v>970</v>
      </c>
      <c r="S55">
        <v>142</v>
      </c>
      <c r="T55">
        <v>17.14975845410628</v>
      </c>
      <c r="U55">
        <v>1015</v>
      </c>
      <c r="V55">
        <v>9.32</v>
      </c>
      <c r="W55">
        <v>127.4</v>
      </c>
      <c r="X55">
        <v>-60.650000000000006</v>
      </c>
      <c r="Y55">
        <v>-32.252060622174952</v>
      </c>
      <c r="Z55">
        <v>18665.5</v>
      </c>
    </row>
    <row r="56" spans="1:26" x14ac:dyDescent="0.25">
      <c r="A56">
        <v>19100</v>
      </c>
      <c r="B56" t="s">
        <v>49</v>
      </c>
      <c r="C56">
        <v>19100</v>
      </c>
      <c r="D56" t="s">
        <v>49</v>
      </c>
      <c r="E56" t="s">
        <v>24</v>
      </c>
      <c r="F56">
        <v>1553</v>
      </c>
      <c r="G56">
        <v>-1454</v>
      </c>
      <c r="H56">
        <v>-48.353841037578981</v>
      </c>
      <c r="I56">
        <v>5071</v>
      </c>
      <c r="J56">
        <v>11.37</v>
      </c>
      <c r="K56">
        <v>408.9</v>
      </c>
      <c r="L56">
        <v>63.899999999999977</v>
      </c>
      <c r="M56">
        <v>18.521739130434774</v>
      </c>
      <c r="N56">
        <v>18665.5</v>
      </c>
      <c r="O56">
        <v>19100</v>
      </c>
      <c r="P56" t="s">
        <v>49</v>
      </c>
      <c r="Q56" t="s">
        <v>24</v>
      </c>
      <c r="R56">
        <v>7727</v>
      </c>
      <c r="S56">
        <v>3047</v>
      </c>
      <c r="T56">
        <v>65.106837606837601</v>
      </c>
      <c r="U56">
        <v>12236</v>
      </c>
      <c r="V56">
        <v>9.25</v>
      </c>
      <c r="W56">
        <v>106.65</v>
      </c>
      <c r="X56">
        <v>-57.25</v>
      </c>
      <c r="Y56">
        <v>-34.929835265405735</v>
      </c>
      <c r="Z56">
        <v>18665.5</v>
      </c>
    </row>
    <row r="57" spans="1:26" x14ac:dyDescent="0.25">
      <c r="A57">
        <v>19150</v>
      </c>
      <c r="B57" t="s">
        <v>49</v>
      </c>
      <c r="C57">
        <v>19150</v>
      </c>
      <c r="D57" t="s">
        <v>49</v>
      </c>
      <c r="E57" t="s">
        <v>24</v>
      </c>
      <c r="F57">
        <v>597</v>
      </c>
      <c r="G57">
        <v>26</v>
      </c>
      <c r="H57">
        <v>4.5534150612959721</v>
      </c>
      <c r="I57">
        <v>200</v>
      </c>
      <c r="J57">
        <v>11.36</v>
      </c>
      <c r="K57">
        <v>442.05</v>
      </c>
      <c r="L57">
        <v>70.75</v>
      </c>
      <c r="M57">
        <v>19.054672771343924</v>
      </c>
      <c r="N57">
        <v>18665.5</v>
      </c>
      <c r="O57">
        <v>19150</v>
      </c>
      <c r="P57" t="s">
        <v>49</v>
      </c>
      <c r="Q57" t="s">
        <v>24</v>
      </c>
      <c r="R57">
        <v>1258</v>
      </c>
      <c r="S57">
        <v>604</v>
      </c>
      <c r="T57">
        <v>92.354740061162076</v>
      </c>
      <c r="U57">
        <v>1817</v>
      </c>
      <c r="V57">
        <v>9.11</v>
      </c>
      <c r="W57">
        <v>90.25</v>
      </c>
      <c r="X57">
        <v>-53.599999999999994</v>
      </c>
      <c r="Y57">
        <v>-37.261035801181784</v>
      </c>
      <c r="Z57">
        <v>18665.5</v>
      </c>
    </row>
    <row r="58" spans="1:26" x14ac:dyDescent="0.25">
      <c r="A58">
        <v>19200</v>
      </c>
      <c r="B58" t="s">
        <v>49</v>
      </c>
      <c r="C58">
        <v>19200</v>
      </c>
      <c r="D58" t="s">
        <v>49</v>
      </c>
      <c r="E58" t="s">
        <v>24</v>
      </c>
      <c r="F58">
        <v>2213</v>
      </c>
      <c r="G58">
        <v>173</v>
      </c>
      <c r="H58">
        <v>8.4803921568627452</v>
      </c>
      <c r="I58">
        <v>2239</v>
      </c>
      <c r="J58">
        <v>12.71</v>
      </c>
      <c r="K58">
        <v>479.9</v>
      </c>
      <c r="L58">
        <v>77.5</v>
      </c>
      <c r="M58">
        <v>19.259443339960239</v>
      </c>
      <c r="N58">
        <v>18665.5</v>
      </c>
      <c r="O58">
        <v>19200</v>
      </c>
      <c r="P58" t="s">
        <v>49</v>
      </c>
      <c r="Q58" t="s">
        <v>24</v>
      </c>
      <c r="R58">
        <v>13752</v>
      </c>
      <c r="S58">
        <v>2030</v>
      </c>
      <c r="T58">
        <v>17.317863845760108</v>
      </c>
      <c r="U58">
        <v>20563</v>
      </c>
      <c r="V58">
        <v>9.06</v>
      </c>
      <c r="W58">
        <v>76.400000000000006</v>
      </c>
      <c r="X58">
        <v>-47.8</v>
      </c>
      <c r="Y58">
        <v>-38.486312399355874</v>
      </c>
      <c r="Z58">
        <v>18665.5</v>
      </c>
    </row>
    <row r="59" spans="1:26" x14ac:dyDescent="0.25">
      <c r="A59">
        <v>19250</v>
      </c>
      <c r="B59" t="s">
        <v>49</v>
      </c>
      <c r="C59">
        <v>19250</v>
      </c>
      <c r="D59" t="s">
        <v>49</v>
      </c>
      <c r="E59" t="s">
        <v>24</v>
      </c>
      <c r="F59">
        <v>642</v>
      </c>
      <c r="G59">
        <v>2</v>
      </c>
      <c r="H59">
        <v>0.3125</v>
      </c>
      <c r="I59">
        <v>10</v>
      </c>
      <c r="J59">
        <v>11.22</v>
      </c>
      <c r="K59">
        <v>526.25</v>
      </c>
      <c r="L59">
        <v>91.600000000000023</v>
      </c>
      <c r="M59">
        <v>21.074427700448641</v>
      </c>
      <c r="N59">
        <v>18665.5</v>
      </c>
      <c r="O59">
        <v>19250</v>
      </c>
      <c r="P59" t="s">
        <v>49</v>
      </c>
      <c r="Q59" t="s">
        <v>24</v>
      </c>
      <c r="R59">
        <v>1263</v>
      </c>
      <c r="S59">
        <v>820</v>
      </c>
      <c r="T59">
        <v>185.10158013544017</v>
      </c>
      <c r="U59">
        <v>2736</v>
      </c>
      <c r="V59">
        <v>9.14</v>
      </c>
      <c r="W59">
        <v>66.599999999999994</v>
      </c>
      <c r="X59">
        <v>-40.700000000000003</v>
      </c>
      <c r="Y59">
        <v>-37.931034482758626</v>
      </c>
      <c r="Z59">
        <v>18665.5</v>
      </c>
    </row>
    <row r="60" spans="1:26" x14ac:dyDescent="0.25">
      <c r="A60">
        <v>19300</v>
      </c>
      <c r="B60" t="s">
        <v>49</v>
      </c>
      <c r="C60">
        <v>19300</v>
      </c>
      <c r="D60" t="s">
        <v>49</v>
      </c>
      <c r="E60" t="s">
        <v>24</v>
      </c>
      <c r="F60">
        <v>1010</v>
      </c>
      <c r="G60">
        <v>-41</v>
      </c>
      <c r="H60">
        <v>-3.9010466222645102</v>
      </c>
      <c r="I60">
        <v>576</v>
      </c>
      <c r="J60">
        <v>11.59</v>
      </c>
      <c r="K60">
        <v>554</v>
      </c>
      <c r="L60">
        <v>83.850000000000023</v>
      </c>
      <c r="M60">
        <v>17.834733595660964</v>
      </c>
      <c r="N60">
        <v>18665.5</v>
      </c>
      <c r="O60">
        <v>19300</v>
      </c>
      <c r="P60" t="s">
        <v>49</v>
      </c>
      <c r="Q60" t="s">
        <v>24</v>
      </c>
      <c r="R60">
        <v>13373</v>
      </c>
      <c r="S60">
        <v>558</v>
      </c>
      <c r="T60">
        <v>4.3542723371049554</v>
      </c>
      <c r="U60">
        <v>19546</v>
      </c>
      <c r="V60">
        <v>9.0500000000000007</v>
      </c>
      <c r="W60">
        <v>55.55</v>
      </c>
      <c r="X60">
        <v>-36</v>
      </c>
      <c r="Y60">
        <v>-39.322774440196618</v>
      </c>
      <c r="Z60">
        <v>18665.5</v>
      </c>
    </row>
    <row r="61" spans="1:26" x14ac:dyDescent="0.25">
      <c r="A61">
        <v>19350</v>
      </c>
      <c r="B61" t="s">
        <v>49</v>
      </c>
      <c r="C61">
        <v>19350</v>
      </c>
      <c r="D61" t="s">
        <v>49</v>
      </c>
      <c r="E61" t="s">
        <v>24</v>
      </c>
      <c r="F61">
        <v>130</v>
      </c>
      <c r="G61">
        <v>-3</v>
      </c>
      <c r="H61">
        <v>-2.255639097744361</v>
      </c>
      <c r="I61">
        <v>6</v>
      </c>
      <c r="J61">
        <v>9.98</v>
      </c>
      <c r="K61">
        <v>565.5</v>
      </c>
      <c r="L61">
        <v>72.300000000000011</v>
      </c>
      <c r="M61">
        <v>14.659367396593677</v>
      </c>
      <c r="N61">
        <v>18665.5</v>
      </c>
      <c r="O61">
        <v>19350</v>
      </c>
      <c r="P61" t="s">
        <v>49</v>
      </c>
      <c r="Q61" t="s">
        <v>24</v>
      </c>
      <c r="R61">
        <v>725</v>
      </c>
      <c r="S61">
        <v>556</v>
      </c>
      <c r="T61">
        <v>328.99408284023667</v>
      </c>
      <c r="U61">
        <v>2085</v>
      </c>
      <c r="V61">
        <v>9.1</v>
      </c>
      <c r="W61">
        <v>47.05</v>
      </c>
      <c r="X61">
        <v>-31.650000000000009</v>
      </c>
      <c r="Y61">
        <v>-40.216010165184251</v>
      </c>
      <c r="Z61">
        <v>18665.5</v>
      </c>
    </row>
    <row r="62" spans="1:26" x14ac:dyDescent="0.25">
      <c r="A62">
        <v>19400</v>
      </c>
      <c r="B62" t="s">
        <v>49</v>
      </c>
      <c r="C62">
        <v>19400</v>
      </c>
      <c r="D62" t="s">
        <v>49</v>
      </c>
      <c r="E62" t="s">
        <v>24</v>
      </c>
      <c r="F62">
        <v>132</v>
      </c>
      <c r="G62">
        <v>-6</v>
      </c>
      <c r="H62">
        <v>-4.3478260869565215</v>
      </c>
      <c r="I62">
        <v>30</v>
      </c>
      <c r="J62">
        <v>11.88</v>
      </c>
      <c r="K62">
        <v>636</v>
      </c>
      <c r="L62">
        <v>89.700000000000045</v>
      </c>
      <c r="M62">
        <v>16.419549697968158</v>
      </c>
      <c r="N62">
        <v>18665.5</v>
      </c>
      <c r="O62">
        <v>19400</v>
      </c>
      <c r="P62" t="s">
        <v>49</v>
      </c>
      <c r="Q62" t="s">
        <v>24</v>
      </c>
      <c r="R62">
        <v>6761</v>
      </c>
      <c r="S62">
        <v>2605</v>
      </c>
      <c r="T62">
        <v>62.680461982675652</v>
      </c>
      <c r="U62">
        <v>11788</v>
      </c>
      <c r="V62">
        <v>9.14</v>
      </c>
      <c r="W62">
        <v>39.75</v>
      </c>
      <c r="X62">
        <v>-27.75</v>
      </c>
      <c r="Y62">
        <v>-41.111111111111107</v>
      </c>
      <c r="Z62">
        <v>18665.5</v>
      </c>
    </row>
    <row r="63" spans="1:26" x14ac:dyDescent="0.25">
      <c r="A63">
        <v>19450</v>
      </c>
      <c r="B63" t="s">
        <v>49</v>
      </c>
      <c r="C63">
        <v>19450</v>
      </c>
      <c r="D63" t="s">
        <v>49</v>
      </c>
      <c r="E63" t="s">
        <v>24</v>
      </c>
      <c r="F63">
        <v>89</v>
      </c>
      <c r="G63">
        <v>-1</v>
      </c>
      <c r="H63">
        <v>-1.1111111111111112</v>
      </c>
      <c r="I63">
        <v>1</v>
      </c>
      <c r="J63">
        <v>11.51</v>
      </c>
      <c r="K63">
        <v>670.2</v>
      </c>
      <c r="L63">
        <v>126.20000000000005</v>
      </c>
      <c r="M63">
        <v>23.198529411764714</v>
      </c>
      <c r="N63">
        <v>18665.5</v>
      </c>
      <c r="O63">
        <v>19450</v>
      </c>
      <c r="P63" t="s">
        <v>49</v>
      </c>
      <c r="Q63" t="s">
        <v>24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18665.5</v>
      </c>
    </row>
    <row r="64" spans="1:26" x14ac:dyDescent="0.25">
      <c r="A64">
        <v>19500</v>
      </c>
      <c r="B64" t="s">
        <v>49</v>
      </c>
      <c r="C64">
        <v>19500</v>
      </c>
      <c r="D64" t="s">
        <v>49</v>
      </c>
      <c r="E64" t="s">
        <v>24</v>
      </c>
      <c r="F64">
        <v>6228</v>
      </c>
      <c r="G64">
        <v>2989</v>
      </c>
      <c r="H64">
        <v>92.281568385304126</v>
      </c>
      <c r="I64">
        <v>5771</v>
      </c>
      <c r="J64">
        <v>12.61</v>
      </c>
      <c r="K64">
        <v>727.9</v>
      </c>
      <c r="L64">
        <v>103.69999999999992</v>
      </c>
      <c r="M64">
        <v>16.61326497917333</v>
      </c>
      <c r="N64">
        <v>18665.5</v>
      </c>
      <c r="O64">
        <v>19500</v>
      </c>
      <c r="P64" t="s">
        <v>49</v>
      </c>
      <c r="Q64" t="s">
        <v>24</v>
      </c>
      <c r="R64">
        <v>38773</v>
      </c>
      <c r="S64">
        <v>1924</v>
      </c>
      <c r="T64">
        <v>5.22130858367934</v>
      </c>
      <c r="U64">
        <v>39706</v>
      </c>
      <c r="V64">
        <v>9.44</v>
      </c>
      <c r="W64">
        <v>30.4</v>
      </c>
      <c r="X64">
        <v>-19.649999999999999</v>
      </c>
      <c r="Y64">
        <v>-39.260739260739257</v>
      </c>
      <c r="Z64">
        <v>18665.5</v>
      </c>
    </row>
    <row r="65" spans="1:26" x14ac:dyDescent="0.25">
      <c r="A65">
        <v>19550</v>
      </c>
      <c r="B65" t="s">
        <v>49</v>
      </c>
      <c r="C65">
        <v>19550</v>
      </c>
      <c r="D65" t="s">
        <v>49</v>
      </c>
      <c r="E65" t="s">
        <v>24</v>
      </c>
      <c r="F65">
        <v>100</v>
      </c>
      <c r="G65">
        <v>0</v>
      </c>
      <c r="H65">
        <v>0</v>
      </c>
      <c r="I65">
        <v>0</v>
      </c>
      <c r="J65">
        <v>0</v>
      </c>
      <c r="K65">
        <v>655.20000000000005</v>
      </c>
      <c r="L65">
        <v>-2.8999999999999773</v>
      </c>
      <c r="M65">
        <v>-0.44066251329584816</v>
      </c>
      <c r="N65">
        <v>18665.5</v>
      </c>
      <c r="O65">
        <v>19550</v>
      </c>
      <c r="P65" t="s">
        <v>49</v>
      </c>
      <c r="Q65" t="s">
        <v>24</v>
      </c>
      <c r="R65">
        <v>1410</v>
      </c>
      <c r="S65">
        <v>777</v>
      </c>
      <c r="T65">
        <v>122.74881516587678</v>
      </c>
      <c r="U65">
        <v>2821</v>
      </c>
      <c r="V65">
        <v>9.33</v>
      </c>
      <c r="W65">
        <v>24.7</v>
      </c>
      <c r="X65">
        <v>-15.3</v>
      </c>
      <c r="Y65">
        <v>-38.25</v>
      </c>
      <c r="Z65">
        <v>18665.5</v>
      </c>
    </row>
    <row r="66" spans="1:26" x14ac:dyDescent="0.25">
      <c r="A66">
        <v>19600</v>
      </c>
      <c r="B66" t="s">
        <v>49</v>
      </c>
      <c r="C66">
        <v>19600</v>
      </c>
      <c r="D66" t="s">
        <v>49</v>
      </c>
      <c r="E66" t="s">
        <v>24</v>
      </c>
      <c r="F66">
        <v>139</v>
      </c>
      <c r="G66">
        <v>5</v>
      </c>
      <c r="H66">
        <v>3.7313432835820897</v>
      </c>
      <c r="I66">
        <v>45</v>
      </c>
      <c r="J66">
        <v>12.92</v>
      </c>
      <c r="K66">
        <v>815</v>
      </c>
      <c r="L66">
        <v>112.64999999999998</v>
      </c>
      <c r="M66">
        <v>16.039011888659495</v>
      </c>
      <c r="N66">
        <v>18665.5</v>
      </c>
      <c r="O66">
        <v>19600</v>
      </c>
      <c r="P66" t="s">
        <v>49</v>
      </c>
      <c r="Q66" t="s">
        <v>24</v>
      </c>
      <c r="R66">
        <v>7539</v>
      </c>
      <c r="S66">
        <v>556</v>
      </c>
      <c r="T66">
        <v>7.962193899470142</v>
      </c>
      <c r="U66">
        <v>13571</v>
      </c>
      <c r="V66">
        <v>9.35</v>
      </c>
      <c r="W66">
        <v>20.399999999999999</v>
      </c>
      <c r="X66">
        <v>-13.25</v>
      </c>
      <c r="Y66">
        <v>-39.375928677563152</v>
      </c>
      <c r="Z66">
        <v>18665.5</v>
      </c>
    </row>
    <row r="67" spans="1:26" x14ac:dyDescent="0.25">
      <c r="A67">
        <v>19650</v>
      </c>
      <c r="B67" t="s">
        <v>49</v>
      </c>
      <c r="C67">
        <v>19650</v>
      </c>
      <c r="D67" t="s">
        <v>49</v>
      </c>
      <c r="E67" t="s">
        <v>24</v>
      </c>
      <c r="F67">
        <v>4</v>
      </c>
      <c r="G67">
        <v>0</v>
      </c>
      <c r="H67">
        <v>0</v>
      </c>
      <c r="I67">
        <v>0</v>
      </c>
      <c r="J67">
        <v>0</v>
      </c>
      <c r="K67">
        <v>703.7</v>
      </c>
      <c r="L67">
        <v>0</v>
      </c>
      <c r="M67">
        <v>0</v>
      </c>
      <c r="N67">
        <v>18665.5</v>
      </c>
      <c r="O67">
        <v>19650</v>
      </c>
      <c r="P67" t="s">
        <v>49</v>
      </c>
      <c r="Q67" t="s">
        <v>24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18665.5</v>
      </c>
    </row>
    <row r="68" spans="1:26" x14ac:dyDescent="0.25">
      <c r="A68">
        <v>19700</v>
      </c>
      <c r="B68" t="s">
        <v>49</v>
      </c>
      <c r="C68">
        <v>19700</v>
      </c>
      <c r="D68" t="s">
        <v>49</v>
      </c>
      <c r="E68" t="s">
        <v>24</v>
      </c>
      <c r="F68">
        <v>11</v>
      </c>
      <c r="G68">
        <v>7</v>
      </c>
      <c r="H68">
        <v>175</v>
      </c>
      <c r="I68">
        <v>13</v>
      </c>
      <c r="J68">
        <v>12.93</v>
      </c>
      <c r="K68">
        <v>900.4</v>
      </c>
      <c r="L68">
        <v>121.79999999999995</v>
      </c>
      <c r="M68">
        <v>15.643462625224757</v>
      </c>
      <c r="N68">
        <v>18665.5</v>
      </c>
      <c r="O68">
        <v>19700</v>
      </c>
      <c r="P68" t="s">
        <v>49</v>
      </c>
      <c r="Q68" t="s">
        <v>24</v>
      </c>
      <c r="R68">
        <v>7606</v>
      </c>
      <c r="S68">
        <v>3005</v>
      </c>
      <c r="T68">
        <v>65.311888719843509</v>
      </c>
      <c r="U68">
        <v>10087</v>
      </c>
      <c r="V68">
        <v>9.31</v>
      </c>
      <c r="W68">
        <v>13.5</v>
      </c>
      <c r="X68">
        <v>-9.85</v>
      </c>
      <c r="Y68">
        <v>-42.184154175588866</v>
      </c>
      <c r="Z68">
        <v>18665.5</v>
      </c>
    </row>
    <row r="69" spans="1:26" x14ac:dyDescent="0.25">
      <c r="A69">
        <v>19750</v>
      </c>
      <c r="B69" t="s">
        <v>49</v>
      </c>
      <c r="C69">
        <v>19750</v>
      </c>
      <c r="D69" t="s">
        <v>49</v>
      </c>
      <c r="E69" t="s">
        <v>24</v>
      </c>
      <c r="F69">
        <v>56</v>
      </c>
      <c r="G69">
        <v>0</v>
      </c>
      <c r="H69">
        <v>0</v>
      </c>
      <c r="I69">
        <v>0</v>
      </c>
      <c r="J69">
        <v>0</v>
      </c>
      <c r="K69">
        <v>808.4</v>
      </c>
      <c r="L69">
        <v>0</v>
      </c>
      <c r="M69">
        <v>0</v>
      </c>
      <c r="N69">
        <v>18665.5</v>
      </c>
      <c r="O69">
        <v>19750</v>
      </c>
      <c r="P69" t="s">
        <v>49</v>
      </c>
      <c r="Q69" t="s">
        <v>24</v>
      </c>
      <c r="R69">
        <v>866</v>
      </c>
      <c r="S69">
        <v>53</v>
      </c>
      <c r="T69">
        <v>6.5190651906519061</v>
      </c>
      <c r="U69">
        <v>1349</v>
      </c>
      <c r="V69">
        <v>9.57</v>
      </c>
      <c r="W69">
        <v>12.5</v>
      </c>
      <c r="X69">
        <v>-7.6499999999999986</v>
      </c>
      <c r="Y69">
        <v>-37.965260545905707</v>
      </c>
      <c r="Z69">
        <v>18665.5</v>
      </c>
    </row>
    <row r="70" spans="1:26" x14ac:dyDescent="0.25">
      <c r="A70">
        <v>19800</v>
      </c>
      <c r="B70" t="s">
        <v>49</v>
      </c>
      <c r="C70">
        <v>19800</v>
      </c>
      <c r="D70" t="s">
        <v>49</v>
      </c>
      <c r="E70" t="s">
        <v>24</v>
      </c>
      <c r="F70">
        <v>97</v>
      </c>
      <c r="G70">
        <v>-2</v>
      </c>
      <c r="H70">
        <v>-2.0202020202020203</v>
      </c>
      <c r="I70">
        <v>34</v>
      </c>
      <c r="J70">
        <v>13.54</v>
      </c>
      <c r="K70">
        <v>995</v>
      </c>
      <c r="L70">
        <v>110.45000000000005</v>
      </c>
      <c r="M70">
        <v>12.486575094680918</v>
      </c>
      <c r="N70">
        <v>18665.5</v>
      </c>
      <c r="O70">
        <v>19800</v>
      </c>
      <c r="P70" t="s">
        <v>49</v>
      </c>
      <c r="Q70" t="s">
        <v>24</v>
      </c>
      <c r="R70">
        <v>9130</v>
      </c>
      <c r="S70">
        <v>594</v>
      </c>
      <c r="T70">
        <v>6.9587628865979383</v>
      </c>
      <c r="U70">
        <v>9157</v>
      </c>
      <c r="V70">
        <v>9.7100000000000009</v>
      </c>
      <c r="W70">
        <v>10.25</v>
      </c>
      <c r="X70">
        <v>-6.6999999999999993</v>
      </c>
      <c r="Y70">
        <v>-39.528023598820056</v>
      </c>
      <c r="Z70">
        <v>18665.5</v>
      </c>
    </row>
    <row r="71" spans="1:26" x14ac:dyDescent="0.25">
      <c r="A71">
        <v>19850</v>
      </c>
      <c r="B71" t="s">
        <v>49</v>
      </c>
      <c r="C71">
        <v>19850</v>
      </c>
      <c r="D71" t="s">
        <v>49</v>
      </c>
      <c r="E71" t="s">
        <v>24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18665.5</v>
      </c>
      <c r="O71">
        <v>19850</v>
      </c>
      <c r="P71" t="s">
        <v>49</v>
      </c>
      <c r="Q71" t="s">
        <v>24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18665.5</v>
      </c>
    </row>
    <row r="72" spans="1:26" x14ac:dyDescent="0.25">
      <c r="A72">
        <v>19900</v>
      </c>
      <c r="B72" t="s">
        <v>49</v>
      </c>
      <c r="C72">
        <v>19900</v>
      </c>
      <c r="D72" t="s">
        <v>49</v>
      </c>
      <c r="E72" t="s">
        <v>24</v>
      </c>
      <c r="F72">
        <v>1</v>
      </c>
      <c r="G72">
        <v>0</v>
      </c>
      <c r="H72">
        <v>0</v>
      </c>
      <c r="I72">
        <v>0</v>
      </c>
      <c r="J72">
        <v>0</v>
      </c>
      <c r="K72">
        <v>973.6</v>
      </c>
      <c r="L72">
        <v>0</v>
      </c>
      <c r="M72">
        <v>0</v>
      </c>
      <c r="N72">
        <v>18665.5</v>
      </c>
      <c r="O72">
        <v>19900</v>
      </c>
      <c r="P72" t="s">
        <v>49</v>
      </c>
      <c r="Q72" t="s">
        <v>24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18665.5</v>
      </c>
    </row>
    <row r="73" spans="1:26" x14ac:dyDescent="0.25">
      <c r="A73">
        <v>19950</v>
      </c>
      <c r="B73" t="s">
        <v>49</v>
      </c>
      <c r="C73">
        <v>19950</v>
      </c>
      <c r="D73" t="s">
        <v>49</v>
      </c>
      <c r="E73" t="s">
        <v>24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18665.5</v>
      </c>
      <c r="O73">
        <v>19950</v>
      </c>
      <c r="P73" t="s">
        <v>49</v>
      </c>
      <c r="Q73" t="s">
        <v>24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18665.5</v>
      </c>
    </row>
    <row r="74" spans="1:26" x14ac:dyDescent="0.25">
      <c r="A74">
        <v>20000</v>
      </c>
      <c r="B74" t="s">
        <v>49</v>
      </c>
      <c r="C74">
        <v>20000</v>
      </c>
      <c r="D74" t="s">
        <v>49</v>
      </c>
      <c r="E74" t="s">
        <v>24</v>
      </c>
      <c r="F74">
        <v>3286</v>
      </c>
      <c r="G74">
        <v>1112</v>
      </c>
      <c r="H74">
        <v>51.149954001839923</v>
      </c>
      <c r="I74">
        <v>1715</v>
      </c>
      <c r="J74">
        <v>16.07</v>
      </c>
      <c r="K74">
        <v>1200</v>
      </c>
      <c r="L74">
        <v>120.54999999999995</v>
      </c>
      <c r="M74">
        <v>11.167724304043722</v>
      </c>
      <c r="N74">
        <v>18665.5</v>
      </c>
      <c r="O74">
        <v>20000</v>
      </c>
      <c r="P74" t="s">
        <v>49</v>
      </c>
      <c r="Q74" t="s">
        <v>24</v>
      </c>
      <c r="R74">
        <v>19543</v>
      </c>
      <c r="S74">
        <v>1874</v>
      </c>
      <c r="T74">
        <v>10.606146358028186</v>
      </c>
      <c r="U74">
        <v>12198</v>
      </c>
      <c r="V74">
        <v>10.94</v>
      </c>
      <c r="W74">
        <v>9.4</v>
      </c>
      <c r="X74">
        <v>-4.2999999999999989</v>
      </c>
      <c r="Y74">
        <v>-31.386861313868607</v>
      </c>
      <c r="Z74">
        <v>18665.5</v>
      </c>
    </row>
    <row r="75" spans="1:26" x14ac:dyDescent="0.25">
      <c r="A75">
        <v>20050</v>
      </c>
      <c r="B75" t="s">
        <v>49</v>
      </c>
      <c r="C75">
        <v>20050</v>
      </c>
      <c r="D75" t="s">
        <v>49</v>
      </c>
      <c r="E75" t="s">
        <v>24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18665.5</v>
      </c>
      <c r="O75">
        <v>20050</v>
      </c>
      <c r="P75" t="s">
        <v>49</v>
      </c>
      <c r="Q75" t="s">
        <v>24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18665.5</v>
      </c>
    </row>
    <row r="76" spans="1:26" x14ac:dyDescent="0.25">
      <c r="A76">
        <v>20100</v>
      </c>
      <c r="B76" t="s">
        <v>49</v>
      </c>
      <c r="C76">
        <v>20100</v>
      </c>
      <c r="D76" t="s">
        <v>49</v>
      </c>
      <c r="E76" t="s">
        <v>24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18665.5</v>
      </c>
      <c r="O76">
        <v>20100</v>
      </c>
      <c r="P76" t="s">
        <v>49</v>
      </c>
      <c r="Q76" t="s">
        <v>24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18665.5</v>
      </c>
    </row>
    <row r="77" spans="1:26" x14ac:dyDescent="0.25">
      <c r="A77">
        <v>20150</v>
      </c>
      <c r="B77" t="s">
        <v>49</v>
      </c>
      <c r="C77">
        <v>20150</v>
      </c>
      <c r="D77" t="s">
        <v>49</v>
      </c>
      <c r="E77" t="s">
        <v>24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18665.5</v>
      </c>
      <c r="O77">
        <v>20150</v>
      </c>
      <c r="P77" t="s">
        <v>49</v>
      </c>
      <c r="Q77" t="s">
        <v>24</v>
      </c>
      <c r="R77">
        <v>3</v>
      </c>
      <c r="S77">
        <v>0</v>
      </c>
      <c r="T77">
        <v>0</v>
      </c>
      <c r="U77">
        <v>0</v>
      </c>
      <c r="V77">
        <v>0</v>
      </c>
      <c r="W77">
        <v>84.1</v>
      </c>
      <c r="X77">
        <v>0</v>
      </c>
      <c r="Y77">
        <v>0</v>
      </c>
      <c r="Z77">
        <v>18665.5</v>
      </c>
    </row>
    <row r="78" spans="1:26" x14ac:dyDescent="0.25">
      <c r="A78">
        <v>20200</v>
      </c>
      <c r="B78" t="s">
        <v>49</v>
      </c>
      <c r="C78">
        <v>20200</v>
      </c>
      <c r="D78" t="s">
        <v>49</v>
      </c>
      <c r="E78" t="s">
        <v>24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18665.5</v>
      </c>
      <c r="O78">
        <v>20200</v>
      </c>
      <c r="P78" t="s">
        <v>49</v>
      </c>
      <c r="Q78" t="s">
        <v>24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18665.5</v>
      </c>
    </row>
    <row r="79" spans="1:26" x14ac:dyDescent="0.25">
      <c r="A79">
        <v>20250</v>
      </c>
      <c r="B79" t="s">
        <v>49</v>
      </c>
      <c r="C79">
        <v>20250</v>
      </c>
      <c r="D79" t="s">
        <v>49</v>
      </c>
      <c r="E79" t="s">
        <v>24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18665.5</v>
      </c>
      <c r="O79">
        <v>20250</v>
      </c>
      <c r="P79" t="s">
        <v>49</v>
      </c>
      <c r="Q79" t="s">
        <v>24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18665.5</v>
      </c>
    </row>
    <row r="80" spans="1:26" x14ac:dyDescent="0.25">
      <c r="A80">
        <v>20300</v>
      </c>
      <c r="B80" t="s">
        <v>49</v>
      </c>
      <c r="C80">
        <v>20300</v>
      </c>
      <c r="D80" t="s">
        <v>49</v>
      </c>
      <c r="E80" t="s">
        <v>24</v>
      </c>
      <c r="F80">
        <v>15</v>
      </c>
      <c r="G80">
        <v>15</v>
      </c>
      <c r="H80">
        <v>0</v>
      </c>
      <c r="I80">
        <v>15</v>
      </c>
      <c r="J80">
        <v>16.05</v>
      </c>
      <c r="K80">
        <v>1472.6</v>
      </c>
      <c r="L80">
        <v>-650</v>
      </c>
      <c r="M80">
        <v>-30.622821068500897</v>
      </c>
      <c r="N80">
        <v>18665.5</v>
      </c>
      <c r="O80">
        <v>20300</v>
      </c>
      <c r="P80" t="s">
        <v>49</v>
      </c>
      <c r="Q80" t="s">
        <v>24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18665.5</v>
      </c>
    </row>
    <row r="81" spans="1:26" x14ac:dyDescent="0.25">
      <c r="A81">
        <v>20350</v>
      </c>
      <c r="B81" t="s">
        <v>49</v>
      </c>
      <c r="C81">
        <v>20350</v>
      </c>
      <c r="D81" t="s">
        <v>49</v>
      </c>
      <c r="E81" t="s">
        <v>24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18665.5</v>
      </c>
      <c r="O81">
        <v>20350</v>
      </c>
      <c r="P81" t="s">
        <v>49</v>
      </c>
      <c r="Q81" t="s">
        <v>24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18665.5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85"/>
  <sheetViews>
    <sheetView workbookViewId="0">
      <selection sqref="A1:Z85"/>
    </sheetView>
  </sheetViews>
  <sheetFormatPr defaultRowHeight="15" x14ac:dyDescent="0.25"/>
  <cols>
    <col min="1" max="1" width="12.7109375" bestFit="1" customWidth="1"/>
    <col min="2" max="2" width="13" bestFit="1" customWidth="1"/>
    <col min="3" max="3" width="16.7109375" bestFit="1" customWidth="1"/>
    <col min="4" max="4" width="17" bestFit="1" customWidth="1"/>
    <col min="5" max="5" width="16.85546875" bestFit="1" customWidth="1"/>
    <col min="6" max="6" width="18.85546875" bestFit="1" customWidth="1"/>
    <col min="7" max="7" width="27.42578125" bestFit="1" customWidth="1"/>
    <col min="8" max="8" width="28.7109375" bestFit="1" customWidth="1"/>
    <col min="9" max="9" width="24.85546875" bestFit="1" customWidth="1"/>
    <col min="10" max="10" width="22.42578125" bestFit="1" customWidth="1"/>
    <col min="11" max="11" width="14.7109375" bestFit="1" customWidth="1"/>
    <col min="12" max="12" width="13.42578125" bestFit="1" customWidth="1"/>
    <col min="13" max="13" width="14.85546875" bestFit="1" customWidth="1"/>
    <col min="14" max="14" width="22.140625" bestFit="1" customWidth="1"/>
    <col min="15" max="15" width="16.42578125" bestFit="1" customWidth="1"/>
    <col min="16" max="16" width="16.7109375" bestFit="1" customWidth="1"/>
    <col min="17" max="17" width="16.5703125" bestFit="1" customWidth="1"/>
    <col min="18" max="18" width="18.5703125" bestFit="1" customWidth="1"/>
    <col min="19" max="19" width="27.140625" bestFit="1" customWidth="1"/>
    <col min="20" max="20" width="28.42578125" bestFit="1" customWidth="1"/>
    <col min="21" max="21" width="24.5703125" bestFit="1" customWidth="1"/>
    <col min="22" max="22" width="22.140625" bestFit="1" customWidth="1"/>
    <col min="23" max="23" width="14.42578125" bestFit="1" customWidth="1"/>
    <col min="24" max="24" width="13.140625" bestFit="1" customWidth="1"/>
    <col min="25" max="25" width="14.5703125" bestFit="1" customWidth="1"/>
    <col min="26" max="26" width="21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39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40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</row>
    <row r="2" spans="1:26" x14ac:dyDescent="0.25">
      <c r="A2">
        <v>36500</v>
      </c>
      <c r="B2" t="s">
        <v>49</v>
      </c>
      <c r="C2">
        <v>36500</v>
      </c>
      <c r="D2" t="s">
        <v>49</v>
      </c>
      <c r="E2" t="s">
        <v>25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43622.9</v>
      </c>
      <c r="O2">
        <v>36500</v>
      </c>
      <c r="P2" t="s">
        <v>49</v>
      </c>
      <c r="Q2" t="s">
        <v>25</v>
      </c>
      <c r="R2">
        <v>479</v>
      </c>
      <c r="S2">
        <v>109</v>
      </c>
      <c r="T2">
        <v>29.45945945945946</v>
      </c>
      <c r="U2">
        <v>482</v>
      </c>
      <c r="V2">
        <v>26.53</v>
      </c>
      <c r="W2">
        <v>11.2</v>
      </c>
      <c r="X2">
        <v>-2.75</v>
      </c>
      <c r="Y2">
        <v>-19.713261648745519</v>
      </c>
      <c r="Z2">
        <v>43622.9</v>
      </c>
    </row>
    <row r="3" spans="1:26" x14ac:dyDescent="0.25">
      <c r="A3">
        <v>37000</v>
      </c>
      <c r="B3" t="s">
        <v>49</v>
      </c>
      <c r="C3">
        <v>37000</v>
      </c>
      <c r="D3" t="s">
        <v>49</v>
      </c>
      <c r="E3" t="s">
        <v>25</v>
      </c>
      <c r="F3">
        <v>256</v>
      </c>
      <c r="G3">
        <v>133</v>
      </c>
      <c r="H3">
        <v>108.130081300813</v>
      </c>
      <c r="I3">
        <v>136</v>
      </c>
      <c r="J3">
        <v>0</v>
      </c>
      <c r="K3">
        <v>6857.4</v>
      </c>
      <c r="L3">
        <v>-267.60000000000036</v>
      </c>
      <c r="M3">
        <v>-3.7557894736842159</v>
      </c>
      <c r="N3">
        <v>43622.9</v>
      </c>
      <c r="O3">
        <v>37000</v>
      </c>
      <c r="P3" t="s">
        <v>49</v>
      </c>
      <c r="Q3" t="s">
        <v>25</v>
      </c>
      <c r="R3">
        <v>2816</v>
      </c>
      <c r="S3">
        <v>2565</v>
      </c>
      <c r="T3">
        <v>1021.9123505976096</v>
      </c>
      <c r="U3">
        <v>3622</v>
      </c>
      <c r="V3">
        <v>24.66</v>
      </c>
      <c r="W3">
        <v>11.7</v>
      </c>
      <c r="X3">
        <v>-2.8500000000000014</v>
      </c>
      <c r="Y3">
        <v>-19.58762886597939</v>
      </c>
      <c r="Z3">
        <v>43622.9</v>
      </c>
    </row>
    <row r="4" spans="1:26" x14ac:dyDescent="0.25">
      <c r="A4">
        <v>37500</v>
      </c>
      <c r="B4" t="s">
        <v>49</v>
      </c>
      <c r="C4">
        <v>37500</v>
      </c>
      <c r="D4" t="s">
        <v>49</v>
      </c>
      <c r="E4" t="s">
        <v>25</v>
      </c>
      <c r="F4">
        <v>3</v>
      </c>
      <c r="G4">
        <v>0</v>
      </c>
      <c r="H4">
        <v>0</v>
      </c>
      <c r="I4">
        <v>0</v>
      </c>
      <c r="J4">
        <v>0</v>
      </c>
      <c r="K4">
        <v>6150</v>
      </c>
      <c r="L4">
        <v>0</v>
      </c>
      <c r="M4">
        <v>0</v>
      </c>
      <c r="N4">
        <v>43622.9</v>
      </c>
      <c r="O4">
        <v>37500</v>
      </c>
      <c r="P4" t="s">
        <v>49</v>
      </c>
      <c r="Q4" t="s">
        <v>25</v>
      </c>
      <c r="R4">
        <v>44</v>
      </c>
      <c r="S4">
        <v>2</v>
      </c>
      <c r="T4">
        <v>4.7619047619047619</v>
      </c>
      <c r="U4">
        <v>29</v>
      </c>
      <c r="V4">
        <v>23.71</v>
      </c>
      <c r="W4">
        <v>13.5</v>
      </c>
      <c r="X4">
        <v>-4</v>
      </c>
      <c r="Y4">
        <v>-22.857142857142858</v>
      </c>
      <c r="Z4">
        <v>43622.9</v>
      </c>
    </row>
    <row r="5" spans="1:26" x14ac:dyDescent="0.25">
      <c r="A5">
        <v>38000</v>
      </c>
      <c r="B5" t="s">
        <v>49</v>
      </c>
      <c r="C5">
        <v>38000</v>
      </c>
      <c r="D5" t="s">
        <v>49</v>
      </c>
      <c r="E5" t="s">
        <v>25</v>
      </c>
      <c r="F5">
        <v>116</v>
      </c>
      <c r="G5">
        <v>23</v>
      </c>
      <c r="H5">
        <v>24.731182795698924</v>
      </c>
      <c r="I5">
        <v>25</v>
      </c>
      <c r="J5">
        <v>0</v>
      </c>
      <c r="K5">
        <v>5836.75</v>
      </c>
      <c r="L5">
        <v>-53.25</v>
      </c>
      <c r="M5">
        <v>-0.90407470288624781</v>
      </c>
      <c r="N5">
        <v>43622.9</v>
      </c>
      <c r="O5">
        <v>38000</v>
      </c>
      <c r="P5" t="s">
        <v>49</v>
      </c>
      <c r="Q5" t="s">
        <v>25</v>
      </c>
      <c r="R5">
        <v>386</v>
      </c>
      <c r="S5">
        <v>79</v>
      </c>
      <c r="T5">
        <v>25.732899022801305</v>
      </c>
      <c r="U5">
        <v>188</v>
      </c>
      <c r="V5">
        <v>22.48</v>
      </c>
      <c r="W5">
        <v>16.899999999999999</v>
      </c>
      <c r="X5">
        <v>-2.6500000000000021</v>
      </c>
      <c r="Y5">
        <v>-13.554987212276226</v>
      </c>
      <c r="Z5">
        <v>43622.9</v>
      </c>
    </row>
    <row r="6" spans="1:26" x14ac:dyDescent="0.25">
      <c r="A6">
        <v>38500</v>
      </c>
      <c r="B6" t="s">
        <v>49</v>
      </c>
      <c r="C6">
        <v>38500</v>
      </c>
      <c r="D6" t="s">
        <v>49</v>
      </c>
      <c r="E6" t="s">
        <v>25</v>
      </c>
      <c r="F6">
        <v>2</v>
      </c>
      <c r="G6">
        <v>2</v>
      </c>
      <c r="H6">
        <v>0</v>
      </c>
      <c r="I6">
        <v>2</v>
      </c>
      <c r="J6">
        <v>0</v>
      </c>
      <c r="K6">
        <v>5320</v>
      </c>
      <c r="L6">
        <v>-204.75</v>
      </c>
      <c r="M6">
        <v>-3.7060500475134623</v>
      </c>
      <c r="N6">
        <v>43622.9</v>
      </c>
      <c r="O6">
        <v>38500</v>
      </c>
      <c r="P6" t="s">
        <v>49</v>
      </c>
      <c r="Q6" t="s">
        <v>25</v>
      </c>
      <c r="R6">
        <v>74</v>
      </c>
      <c r="S6">
        <v>34</v>
      </c>
      <c r="T6">
        <v>85</v>
      </c>
      <c r="U6">
        <v>82</v>
      </c>
      <c r="V6">
        <v>21.43</v>
      </c>
      <c r="W6">
        <v>19.649999999999999</v>
      </c>
      <c r="X6">
        <v>-4.1500000000000021</v>
      </c>
      <c r="Y6">
        <v>-17.436974789915975</v>
      </c>
      <c r="Z6">
        <v>43622.9</v>
      </c>
    </row>
    <row r="7" spans="1:26" x14ac:dyDescent="0.25">
      <c r="A7">
        <v>39000</v>
      </c>
      <c r="B7" t="s">
        <v>49</v>
      </c>
      <c r="C7">
        <v>39000</v>
      </c>
      <c r="D7" t="s">
        <v>49</v>
      </c>
      <c r="E7" t="s">
        <v>25</v>
      </c>
      <c r="F7">
        <v>466</v>
      </c>
      <c r="G7">
        <v>39</v>
      </c>
      <c r="H7">
        <v>9.1334894613583142</v>
      </c>
      <c r="I7">
        <v>47</v>
      </c>
      <c r="J7">
        <v>0</v>
      </c>
      <c r="K7">
        <v>4790</v>
      </c>
      <c r="L7">
        <v>-153.39999999999964</v>
      </c>
      <c r="M7">
        <v>-3.1031274021928157</v>
      </c>
      <c r="N7">
        <v>43622.9</v>
      </c>
      <c r="O7">
        <v>39000</v>
      </c>
      <c r="P7" t="s">
        <v>49</v>
      </c>
      <c r="Q7" t="s">
        <v>25</v>
      </c>
      <c r="R7">
        <v>2213</v>
      </c>
      <c r="S7">
        <v>37</v>
      </c>
      <c r="T7">
        <v>1.7003676470588236</v>
      </c>
      <c r="U7">
        <v>1047</v>
      </c>
      <c r="V7">
        <v>19.809999999999999</v>
      </c>
      <c r="W7">
        <v>21</v>
      </c>
      <c r="X7">
        <v>-0.64999999999999858</v>
      </c>
      <c r="Y7">
        <v>-3.0023094688221645</v>
      </c>
      <c r="Z7">
        <v>43622.9</v>
      </c>
    </row>
    <row r="8" spans="1:26" x14ac:dyDescent="0.25">
      <c r="A8">
        <v>39500</v>
      </c>
      <c r="B8" t="s">
        <v>49</v>
      </c>
      <c r="C8">
        <v>39500</v>
      </c>
      <c r="D8" t="s">
        <v>49</v>
      </c>
      <c r="E8" t="s">
        <v>25</v>
      </c>
      <c r="F8">
        <v>74</v>
      </c>
      <c r="G8">
        <v>59</v>
      </c>
      <c r="H8">
        <v>393.33333333333331</v>
      </c>
      <c r="I8">
        <v>62</v>
      </c>
      <c r="J8">
        <v>0</v>
      </c>
      <c r="K8">
        <v>4307.8500000000004</v>
      </c>
      <c r="L8">
        <v>-142.14999999999964</v>
      </c>
      <c r="M8">
        <v>-3.1943820224719017</v>
      </c>
      <c r="N8">
        <v>43622.9</v>
      </c>
      <c r="O8">
        <v>39500</v>
      </c>
      <c r="P8" t="s">
        <v>49</v>
      </c>
      <c r="Q8" t="s">
        <v>25</v>
      </c>
      <c r="R8">
        <v>846</v>
      </c>
      <c r="S8">
        <v>289</v>
      </c>
      <c r="T8">
        <v>51.885098743267505</v>
      </c>
      <c r="U8">
        <v>1474</v>
      </c>
      <c r="V8">
        <v>18.760000000000002</v>
      </c>
      <c r="W8">
        <v>26.4</v>
      </c>
      <c r="X8">
        <v>-1.8500000000000016</v>
      </c>
      <c r="Y8">
        <v>-6.5486725663716872</v>
      </c>
      <c r="Z8">
        <v>43622.9</v>
      </c>
    </row>
    <row r="9" spans="1:26" x14ac:dyDescent="0.25">
      <c r="A9">
        <v>40000</v>
      </c>
      <c r="B9" t="s">
        <v>49</v>
      </c>
      <c r="C9">
        <v>40000</v>
      </c>
      <c r="D9" t="s">
        <v>49</v>
      </c>
      <c r="E9" t="s">
        <v>25</v>
      </c>
      <c r="F9">
        <v>1397</v>
      </c>
      <c r="G9">
        <v>302</v>
      </c>
      <c r="H9">
        <v>27.579908675799089</v>
      </c>
      <c r="I9">
        <v>631</v>
      </c>
      <c r="J9">
        <v>0</v>
      </c>
      <c r="K9">
        <v>3843.75</v>
      </c>
      <c r="L9">
        <v>-115.44999999999982</v>
      </c>
      <c r="M9">
        <v>-2.9159931299252331</v>
      </c>
      <c r="N9">
        <v>43622.9</v>
      </c>
      <c r="O9">
        <v>40000</v>
      </c>
      <c r="P9" t="s">
        <v>49</v>
      </c>
      <c r="Q9" t="s">
        <v>25</v>
      </c>
      <c r="R9">
        <v>11225</v>
      </c>
      <c r="S9">
        <v>850</v>
      </c>
      <c r="T9">
        <v>8.19277108433735</v>
      </c>
      <c r="U9">
        <v>5881</v>
      </c>
      <c r="V9">
        <v>17.899999999999999</v>
      </c>
      <c r="W9">
        <v>36</v>
      </c>
      <c r="X9">
        <v>-1.75</v>
      </c>
      <c r="Y9">
        <v>-4.6357615894039732</v>
      </c>
      <c r="Z9">
        <v>43622.9</v>
      </c>
    </row>
    <row r="10" spans="1:26" x14ac:dyDescent="0.25">
      <c r="A10">
        <v>40200</v>
      </c>
      <c r="B10" t="s">
        <v>49</v>
      </c>
      <c r="C10">
        <v>40200</v>
      </c>
      <c r="D10" t="s">
        <v>49</v>
      </c>
      <c r="E10" t="s">
        <v>25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43622.9</v>
      </c>
      <c r="O10">
        <v>40200</v>
      </c>
      <c r="P10" t="s">
        <v>49</v>
      </c>
      <c r="Q10" t="s">
        <v>25</v>
      </c>
      <c r="R10">
        <v>41</v>
      </c>
      <c r="S10">
        <v>-8</v>
      </c>
      <c r="T10">
        <v>-16.326530612244898</v>
      </c>
      <c r="U10">
        <v>25</v>
      </c>
      <c r="V10">
        <v>17.11</v>
      </c>
      <c r="W10">
        <v>35.799999999999997</v>
      </c>
      <c r="X10">
        <v>-8.6500000000000057</v>
      </c>
      <c r="Y10">
        <v>-19.460067491563564</v>
      </c>
      <c r="Z10">
        <v>43622.9</v>
      </c>
    </row>
    <row r="11" spans="1:26" x14ac:dyDescent="0.25">
      <c r="A11">
        <v>40300</v>
      </c>
      <c r="B11" t="s">
        <v>49</v>
      </c>
      <c r="C11">
        <v>40300</v>
      </c>
      <c r="D11" t="s">
        <v>49</v>
      </c>
      <c r="E11" t="s">
        <v>25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43622.9</v>
      </c>
      <c r="O11">
        <v>40300</v>
      </c>
      <c r="P11" t="s">
        <v>49</v>
      </c>
      <c r="Q11" t="s">
        <v>25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43622.9</v>
      </c>
    </row>
    <row r="12" spans="1:26" x14ac:dyDescent="0.25">
      <c r="A12">
        <v>40400</v>
      </c>
      <c r="B12" t="s">
        <v>49</v>
      </c>
      <c r="C12">
        <v>40400</v>
      </c>
      <c r="D12" t="s">
        <v>49</v>
      </c>
      <c r="E12" t="s">
        <v>25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43622.9</v>
      </c>
      <c r="O12">
        <v>40400</v>
      </c>
      <c r="P12" t="s">
        <v>49</v>
      </c>
      <c r="Q12" t="s">
        <v>25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43622.9</v>
      </c>
    </row>
    <row r="13" spans="1:26" x14ac:dyDescent="0.25">
      <c r="A13">
        <v>40500</v>
      </c>
      <c r="B13" t="s">
        <v>49</v>
      </c>
      <c r="C13">
        <v>40500</v>
      </c>
      <c r="D13" t="s">
        <v>49</v>
      </c>
      <c r="E13" t="s">
        <v>25</v>
      </c>
      <c r="F13">
        <v>215</v>
      </c>
      <c r="G13">
        <v>90</v>
      </c>
      <c r="H13">
        <v>72</v>
      </c>
      <c r="I13">
        <v>113</v>
      </c>
      <c r="J13">
        <v>0</v>
      </c>
      <c r="K13">
        <v>3364.55</v>
      </c>
      <c r="L13">
        <v>-90.449999999999818</v>
      </c>
      <c r="M13">
        <v>-2.617945007235885</v>
      </c>
      <c r="N13">
        <v>43622.9</v>
      </c>
      <c r="O13">
        <v>40500</v>
      </c>
      <c r="P13" t="s">
        <v>49</v>
      </c>
      <c r="Q13" t="s">
        <v>25</v>
      </c>
      <c r="R13">
        <v>4551</v>
      </c>
      <c r="S13">
        <v>1098</v>
      </c>
      <c r="T13">
        <v>31.798436142484796</v>
      </c>
      <c r="U13">
        <v>4183</v>
      </c>
      <c r="V13">
        <v>17.02</v>
      </c>
      <c r="W13">
        <v>46.25</v>
      </c>
      <c r="X13">
        <v>-3.1000000000000014</v>
      </c>
      <c r="Y13">
        <v>-6.2816616008105397</v>
      </c>
      <c r="Z13">
        <v>43622.9</v>
      </c>
    </row>
    <row r="14" spans="1:26" x14ac:dyDescent="0.25">
      <c r="A14">
        <v>40600</v>
      </c>
      <c r="B14" t="s">
        <v>49</v>
      </c>
      <c r="C14">
        <v>40600</v>
      </c>
      <c r="D14" t="s">
        <v>49</v>
      </c>
      <c r="E14" t="s">
        <v>25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43622.9</v>
      </c>
      <c r="O14">
        <v>40600</v>
      </c>
      <c r="P14" t="s">
        <v>49</v>
      </c>
      <c r="Q14" t="s">
        <v>25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43622.9</v>
      </c>
    </row>
    <row r="15" spans="1:26" x14ac:dyDescent="0.25">
      <c r="A15">
        <v>40700</v>
      </c>
      <c r="B15" t="s">
        <v>49</v>
      </c>
      <c r="C15">
        <v>40700</v>
      </c>
      <c r="D15" t="s">
        <v>49</v>
      </c>
      <c r="E15" t="s">
        <v>25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43622.9</v>
      </c>
      <c r="O15">
        <v>40700</v>
      </c>
      <c r="P15" t="s">
        <v>49</v>
      </c>
      <c r="Q15" t="s">
        <v>25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43622.9</v>
      </c>
    </row>
    <row r="16" spans="1:26" x14ac:dyDescent="0.25">
      <c r="A16">
        <v>40800</v>
      </c>
      <c r="B16" t="s">
        <v>49</v>
      </c>
      <c r="C16">
        <v>40800</v>
      </c>
      <c r="D16" t="s">
        <v>49</v>
      </c>
      <c r="E16" t="s">
        <v>25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43622.9</v>
      </c>
      <c r="O16">
        <v>40800</v>
      </c>
      <c r="P16" t="s">
        <v>49</v>
      </c>
      <c r="Q16" t="s">
        <v>25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43622.9</v>
      </c>
    </row>
    <row r="17" spans="1:26" x14ac:dyDescent="0.25">
      <c r="A17">
        <v>40900</v>
      </c>
      <c r="B17" t="s">
        <v>49</v>
      </c>
      <c r="C17">
        <v>40900</v>
      </c>
      <c r="D17" t="s">
        <v>49</v>
      </c>
      <c r="E17" t="s">
        <v>25</v>
      </c>
      <c r="F17">
        <v>3</v>
      </c>
      <c r="G17">
        <v>0</v>
      </c>
      <c r="H17">
        <v>0</v>
      </c>
      <c r="I17">
        <v>0</v>
      </c>
      <c r="J17">
        <v>0</v>
      </c>
      <c r="K17">
        <v>3388.4</v>
      </c>
      <c r="L17">
        <v>0</v>
      </c>
      <c r="M17">
        <v>0</v>
      </c>
      <c r="N17">
        <v>43622.9</v>
      </c>
      <c r="O17">
        <v>40900</v>
      </c>
      <c r="P17" t="s">
        <v>49</v>
      </c>
      <c r="Q17" t="s">
        <v>25</v>
      </c>
      <c r="R17">
        <v>160</v>
      </c>
      <c r="S17">
        <v>10</v>
      </c>
      <c r="T17">
        <v>6.666666666666667</v>
      </c>
      <c r="U17">
        <v>222</v>
      </c>
      <c r="V17">
        <v>15.98</v>
      </c>
      <c r="W17">
        <v>58.7</v>
      </c>
      <c r="X17">
        <v>-61.25</v>
      </c>
      <c r="Y17">
        <v>-51.06294289287203</v>
      </c>
      <c r="Z17">
        <v>43622.9</v>
      </c>
    </row>
    <row r="18" spans="1:26" x14ac:dyDescent="0.25">
      <c r="A18">
        <v>41000</v>
      </c>
      <c r="B18" t="s">
        <v>49</v>
      </c>
      <c r="C18">
        <v>41000</v>
      </c>
      <c r="D18" t="s">
        <v>49</v>
      </c>
      <c r="E18" t="s">
        <v>25</v>
      </c>
      <c r="F18">
        <v>1061</v>
      </c>
      <c r="G18">
        <v>438</v>
      </c>
      <c r="H18">
        <v>70.304975922953446</v>
      </c>
      <c r="I18">
        <v>740</v>
      </c>
      <c r="J18">
        <v>0</v>
      </c>
      <c r="K18">
        <v>2885.4</v>
      </c>
      <c r="L18">
        <v>-114.69999999999982</v>
      </c>
      <c r="M18">
        <v>-3.82320589313689</v>
      </c>
      <c r="N18">
        <v>43622.9</v>
      </c>
      <c r="O18">
        <v>41000</v>
      </c>
      <c r="P18" t="s">
        <v>49</v>
      </c>
      <c r="Q18" t="s">
        <v>25</v>
      </c>
      <c r="R18">
        <v>15419</v>
      </c>
      <c r="S18">
        <v>-933</v>
      </c>
      <c r="T18">
        <v>-5.7057240704500982</v>
      </c>
      <c r="U18">
        <v>16903</v>
      </c>
      <c r="V18">
        <v>15.77</v>
      </c>
      <c r="W18">
        <v>61.2</v>
      </c>
      <c r="X18">
        <v>-7.2999999999999972</v>
      </c>
      <c r="Y18">
        <v>-10.656934306569338</v>
      </c>
      <c r="Z18">
        <v>43622.9</v>
      </c>
    </row>
    <row r="19" spans="1:26" x14ac:dyDescent="0.25">
      <c r="A19">
        <v>41100</v>
      </c>
      <c r="B19" t="s">
        <v>49</v>
      </c>
      <c r="C19">
        <v>41100</v>
      </c>
      <c r="D19" t="s">
        <v>49</v>
      </c>
      <c r="E19" t="s">
        <v>25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43622.9</v>
      </c>
      <c r="O19">
        <v>41100</v>
      </c>
      <c r="P19" t="s">
        <v>49</v>
      </c>
      <c r="Q19" t="s">
        <v>25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43622.9</v>
      </c>
    </row>
    <row r="20" spans="1:26" x14ac:dyDescent="0.25">
      <c r="A20">
        <v>41200</v>
      </c>
      <c r="B20" t="s">
        <v>49</v>
      </c>
      <c r="C20">
        <v>41200</v>
      </c>
      <c r="D20" t="s">
        <v>49</v>
      </c>
      <c r="E20" t="s">
        <v>25</v>
      </c>
      <c r="F20">
        <v>8</v>
      </c>
      <c r="G20">
        <v>1</v>
      </c>
      <c r="H20">
        <v>14.285714285714286</v>
      </c>
      <c r="I20">
        <v>1</v>
      </c>
      <c r="J20">
        <v>0</v>
      </c>
      <c r="K20">
        <v>2587.6</v>
      </c>
      <c r="L20">
        <v>-182.65000000000009</v>
      </c>
      <c r="M20">
        <v>-6.5932677556177284</v>
      </c>
      <c r="N20">
        <v>43622.9</v>
      </c>
      <c r="O20">
        <v>41200</v>
      </c>
      <c r="P20" t="s">
        <v>49</v>
      </c>
      <c r="Q20" t="s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43622.9</v>
      </c>
    </row>
    <row r="21" spans="1:26" x14ac:dyDescent="0.25">
      <c r="A21">
        <v>41300</v>
      </c>
      <c r="B21" t="s">
        <v>49</v>
      </c>
      <c r="C21">
        <v>41300</v>
      </c>
      <c r="D21" t="s">
        <v>49</v>
      </c>
      <c r="E21" t="s">
        <v>25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43622.9</v>
      </c>
      <c r="O21">
        <v>41300</v>
      </c>
      <c r="P21" t="s">
        <v>49</v>
      </c>
      <c r="Q21" t="s">
        <v>25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43622.9</v>
      </c>
    </row>
    <row r="22" spans="1:26" x14ac:dyDescent="0.25">
      <c r="A22">
        <v>41400</v>
      </c>
      <c r="B22" t="s">
        <v>49</v>
      </c>
      <c r="C22">
        <v>41400</v>
      </c>
      <c r="D22" t="s">
        <v>49</v>
      </c>
      <c r="E22" t="s">
        <v>25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43622.9</v>
      </c>
      <c r="O22">
        <v>41400</v>
      </c>
      <c r="P22" t="s">
        <v>49</v>
      </c>
      <c r="Q22" t="s">
        <v>25</v>
      </c>
      <c r="R22">
        <v>193</v>
      </c>
      <c r="S22">
        <v>74</v>
      </c>
      <c r="T22">
        <v>62.184873949579831</v>
      </c>
      <c r="U22">
        <v>547</v>
      </c>
      <c r="V22">
        <v>15.19</v>
      </c>
      <c r="W22">
        <v>83.8</v>
      </c>
      <c r="X22">
        <v>-13.5</v>
      </c>
      <c r="Y22">
        <v>-13.874614594039056</v>
      </c>
      <c r="Z22">
        <v>43622.9</v>
      </c>
    </row>
    <row r="23" spans="1:26" x14ac:dyDescent="0.25">
      <c r="A23">
        <v>41500</v>
      </c>
      <c r="B23" t="s">
        <v>49</v>
      </c>
      <c r="C23">
        <v>41500</v>
      </c>
      <c r="D23" t="s">
        <v>49</v>
      </c>
      <c r="E23" t="s">
        <v>25</v>
      </c>
      <c r="F23">
        <v>379</v>
      </c>
      <c r="G23">
        <v>151</v>
      </c>
      <c r="H23">
        <v>66.228070175438603</v>
      </c>
      <c r="I23">
        <v>314</v>
      </c>
      <c r="J23">
        <v>0</v>
      </c>
      <c r="K23">
        <v>2395.35</v>
      </c>
      <c r="L23">
        <v>-149.15000000000009</v>
      </c>
      <c r="M23">
        <v>-5.8616624091177085</v>
      </c>
      <c r="N23">
        <v>43622.9</v>
      </c>
      <c r="O23">
        <v>41500</v>
      </c>
      <c r="P23" t="s">
        <v>49</v>
      </c>
      <c r="Q23" t="s">
        <v>25</v>
      </c>
      <c r="R23">
        <v>18086</v>
      </c>
      <c r="S23">
        <v>2990</v>
      </c>
      <c r="T23">
        <v>19.806571277159513</v>
      </c>
      <c r="U23">
        <v>15310</v>
      </c>
      <c r="V23">
        <v>15.04</v>
      </c>
      <c r="W23">
        <v>93</v>
      </c>
      <c r="X23">
        <v>-8</v>
      </c>
      <c r="Y23">
        <v>-7.9207920792079207</v>
      </c>
      <c r="Z23">
        <v>43622.9</v>
      </c>
    </row>
    <row r="24" spans="1:26" x14ac:dyDescent="0.25">
      <c r="A24">
        <v>41600</v>
      </c>
      <c r="B24" t="s">
        <v>49</v>
      </c>
      <c r="C24">
        <v>41600</v>
      </c>
      <c r="D24" t="s">
        <v>49</v>
      </c>
      <c r="E24" t="s">
        <v>25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43622.9</v>
      </c>
      <c r="O24">
        <v>41600</v>
      </c>
      <c r="P24" t="s">
        <v>49</v>
      </c>
      <c r="Q24" t="s">
        <v>25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43622.9</v>
      </c>
    </row>
    <row r="25" spans="1:26" x14ac:dyDescent="0.25">
      <c r="A25">
        <v>41700</v>
      </c>
      <c r="B25" t="s">
        <v>49</v>
      </c>
      <c r="C25">
        <v>41700</v>
      </c>
      <c r="D25" t="s">
        <v>49</v>
      </c>
      <c r="E25" t="s">
        <v>25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43622.9</v>
      </c>
      <c r="O25">
        <v>41700</v>
      </c>
      <c r="P25" t="s">
        <v>49</v>
      </c>
      <c r="Q25" t="s">
        <v>25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43622.9</v>
      </c>
    </row>
    <row r="26" spans="1:26" x14ac:dyDescent="0.25">
      <c r="A26">
        <v>41800</v>
      </c>
      <c r="B26" t="s">
        <v>49</v>
      </c>
      <c r="C26">
        <v>41800</v>
      </c>
      <c r="D26" t="s">
        <v>49</v>
      </c>
      <c r="E26" t="s">
        <v>25</v>
      </c>
      <c r="F26">
        <v>12</v>
      </c>
      <c r="G26">
        <v>0</v>
      </c>
      <c r="H26">
        <v>0</v>
      </c>
      <c r="I26">
        <v>0</v>
      </c>
      <c r="J26">
        <v>0</v>
      </c>
      <c r="K26">
        <v>2498.85</v>
      </c>
      <c r="L26">
        <v>0</v>
      </c>
      <c r="M26">
        <v>0</v>
      </c>
      <c r="N26">
        <v>43622.9</v>
      </c>
      <c r="O26">
        <v>41800</v>
      </c>
      <c r="P26" t="s">
        <v>49</v>
      </c>
      <c r="Q26" t="s">
        <v>25</v>
      </c>
      <c r="R26">
        <v>1228</v>
      </c>
      <c r="S26">
        <v>617</v>
      </c>
      <c r="T26">
        <v>100.98199672667758</v>
      </c>
      <c r="U26">
        <v>1617</v>
      </c>
      <c r="V26">
        <v>14.57</v>
      </c>
      <c r="W26">
        <v>112.95</v>
      </c>
      <c r="X26">
        <v>-18.399999999999991</v>
      </c>
      <c r="Y26">
        <v>-14.008374571754848</v>
      </c>
      <c r="Z26">
        <v>43622.9</v>
      </c>
    </row>
    <row r="27" spans="1:26" x14ac:dyDescent="0.25">
      <c r="A27">
        <v>41900</v>
      </c>
      <c r="B27" t="s">
        <v>49</v>
      </c>
      <c r="C27">
        <v>41900</v>
      </c>
      <c r="D27" t="s">
        <v>49</v>
      </c>
      <c r="E27" t="s">
        <v>25</v>
      </c>
      <c r="F27">
        <v>9</v>
      </c>
      <c r="G27">
        <v>0</v>
      </c>
      <c r="H27">
        <v>0</v>
      </c>
      <c r="I27">
        <v>0</v>
      </c>
      <c r="J27">
        <v>0</v>
      </c>
      <c r="K27">
        <v>2347.1</v>
      </c>
      <c r="L27">
        <v>-14.5</v>
      </c>
      <c r="M27">
        <v>-0.61399051490514911</v>
      </c>
      <c r="N27">
        <v>43622.9</v>
      </c>
      <c r="O27">
        <v>41900</v>
      </c>
      <c r="P27" t="s">
        <v>49</v>
      </c>
      <c r="Q27" t="s">
        <v>25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43622.9</v>
      </c>
    </row>
    <row r="28" spans="1:26" x14ac:dyDescent="0.25">
      <c r="A28">
        <v>42000</v>
      </c>
      <c r="B28" t="s">
        <v>49</v>
      </c>
      <c r="C28">
        <v>42000</v>
      </c>
      <c r="D28" t="s">
        <v>49</v>
      </c>
      <c r="E28" t="s">
        <v>25</v>
      </c>
      <c r="F28">
        <v>2902</v>
      </c>
      <c r="G28">
        <v>947</v>
      </c>
      <c r="H28">
        <v>48.43989769820972</v>
      </c>
      <c r="I28">
        <v>1654</v>
      </c>
      <c r="J28">
        <v>0</v>
      </c>
      <c r="K28">
        <v>1965</v>
      </c>
      <c r="L28">
        <v>-119.84999999999992</v>
      </c>
      <c r="M28">
        <v>-5.7486150082739726</v>
      </c>
      <c r="N28">
        <v>43622.9</v>
      </c>
      <c r="O28">
        <v>42000</v>
      </c>
      <c r="P28" t="s">
        <v>49</v>
      </c>
      <c r="Q28" t="s">
        <v>25</v>
      </c>
      <c r="R28">
        <v>25866</v>
      </c>
      <c r="S28">
        <v>4146</v>
      </c>
      <c r="T28">
        <v>19.08839779005525</v>
      </c>
      <c r="U28">
        <v>24517</v>
      </c>
      <c r="V28">
        <v>14.46</v>
      </c>
      <c r="W28">
        <v>136.94999999999999</v>
      </c>
      <c r="X28">
        <v>-13.550000000000011</v>
      </c>
      <c r="Y28">
        <v>-9.0033222591362208</v>
      </c>
      <c r="Z28">
        <v>43622.9</v>
      </c>
    </row>
    <row r="29" spans="1:26" x14ac:dyDescent="0.25">
      <c r="A29">
        <v>42100</v>
      </c>
      <c r="B29" t="s">
        <v>49</v>
      </c>
      <c r="C29">
        <v>42100</v>
      </c>
      <c r="D29" t="s">
        <v>49</v>
      </c>
      <c r="E29" t="s">
        <v>25</v>
      </c>
      <c r="F29">
        <v>7</v>
      </c>
      <c r="G29">
        <v>0</v>
      </c>
      <c r="H29">
        <v>0</v>
      </c>
      <c r="I29">
        <v>0</v>
      </c>
      <c r="J29">
        <v>0</v>
      </c>
      <c r="K29">
        <v>2223.3000000000002</v>
      </c>
      <c r="L29">
        <v>0</v>
      </c>
      <c r="M29">
        <v>0</v>
      </c>
      <c r="N29">
        <v>43622.9</v>
      </c>
      <c r="O29">
        <v>42100</v>
      </c>
      <c r="P29" t="s">
        <v>49</v>
      </c>
      <c r="Q29" t="s">
        <v>25</v>
      </c>
      <c r="R29">
        <v>605</v>
      </c>
      <c r="S29">
        <v>217</v>
      </c>
      <c r="T29">
        <v>55.927835051546388</v>
      </c>
      <c r="U29">
        <v>1236</v>
      </c>
      <c r="V29">
        <v>14.34</v>
      </c>
      <c r="W29">
        <v>148.25</v>
      </c>
      <c r="X29">
        <v>-15.099999999999994</v>
      </c>
      <c r="Y29">
        <v>-9.2439546985001488</v>
      </c>
      <c r="Z29">
        <v>43622.9</v>
      </c>
    </row>
    <row r="30" spans="1:26" x14ac:dyDescent="0.25">
      <c r="A30">
        <v>42200</v>
      </c>
      <c r="B30" t="s">
        <v>49</v>
      </c>
      <c r="C30">
        <v>42200</v>
      </c>
      <c r="D30" t="s">
        <v>49</v>
      </c>
      <c r="E30" t="s">
        <v>25</v>
      </c>
      <c r="F30">
        <v>35</v>
      </c>
      <c r="G30">
        <v>4</v>
      </c>
      <c r="H30">
        <v>12.903225806451612</v>
      </c>
      <c r="I30">
        <v>12</v>
      </c>
      <c r="J30">
        <v>6.11</v>
      </c>
      <c r="K30">
        <v>1817.3</v>
      </c>
      <c r="L30">
        <v>-232.70000000000005</v>
      </c>
      <c r="M30">
        <v>-11.351219512195124</v>
      </c>
      <c r="N30">
        <v>43622.9</v>
      </c>
      <c r="O30">
        <v>42200</v>
      </c>
      <c r="P30" t="s">
        <v>49</v>
      </c>
      <c r="Q30" t="s">
        <v>25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43622.9</v>
      </c>
    </row>
    <row r="31" spans="1:26" x14ac:dyDescent="0.25">
      <c r="A31">
        <v>42300</v>
      </c>
      <c r="B31" t="s">
        <v>49</v>
      </c>
      <c r="C31">
        <v>42300</v>
      </c>
      <c r="D31" t="s">
        <v>49</v>
      </c>
      <c r="E31" t="s">
        <v>25</v>
      </c>
      <c r="F31">
        <v>66</v>
      </c>
      <c r="G31">
        <v>2</v>
      </c>
      <c r="H31">
        <v>3.125</v>
      </c>
      <c r="I31">
        <v>13</v>
      </c>
      <c r="J31">
        <v>0</v>
      </c>
      <c r="K31">
        <v>1666.5</v>
      </c>
      <c r="L31">
        <v>-283.5</v>
      </c>
      <c r="M31">
        <v>-14.538461538461538</v>
      </c>
      <c r="N31">
        <v>43622.9</v>
      </c>
      <c r="O31">
        <v>42300</v>
      </c>
      <c r="P31" t="s">
        <v>49</v>
      </c>
      <c r="Q31" t="s">
        <v>25</v>
      </c>
      <c r="R31">
        <v>297</v>
      </c>
      <c r="S31">
        <v>297</v>
      </c>
      <c r="T31">
        <v>0</v>
      </c>
      <c r="U31">
        <v>815</v>
      </c>
      <c r="V31">
        <v>14.14</v>
      </c>
      <c r="W31">
        <v>177.25</v>
      </c>
      <c r="X31">
        <v>-1175.4000000000001</v>
      </c>
      <c r="Y31">
        <v>-86.896092854766565</v>
      </c>
      <c r="Z31">
        <v>43622.9</v>
      </c>
    </row>
    <row r="32" spans="1:26" x14ac:dyDescent="0.25">
      <c r="A32">
        <v>42400</v>
      </c>
      <c r="B32" t="s">
        <v>49</v>
      </c>
      <c r="C32">
        <v>42400</v>
      </c>
      <c r="D32" t="s">
        <v>49</v>
      </c>
      <c r="E32" t="s">
        <v>25</v>
      </c>
      <c r="F32">
        <v>8</v>
      </c>
      <c r="G32">
        <v>0</v>
      </c>
      <c r="H32">
        <v>0</v>
      </c>
      <c r="I32">
        <v>0</v>
      </c>
      <c r="J32">
        <v>0</v>
      </c>
      <c r="K32">
        <v>2076.1</v>
      </c>
      <c r="L32">
        <v>0</v>
      </c>
      <c r="M32">
        <v>0</v>
      </c>
      <c r="N32">
        <v>43622.9</v>
      </c>
      <c r="O32">
        <v>42400</v>
      </c>
      <c r="P32" t="s">
        <v>49</v>
      </c>
      <c r="Q32" t="s">
        <v>25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43622.9</v>
      </c>
    </row>
    <row r="33" spans="1:26" x14ac:dyDescent="0.25">
      <c r="A33">
        <v>42500</v>
      </c>
      <c r="B33" t="s">
        <v>49</v>
      </c>
      <c r="C33">
        <v>42500</v>
      </c>
      <c r="D33" t="s">
        <v>49</v>
      </c>
      <c r="E33" t="s">
        <v>25</v>
      </c>
      <c r="F33">
        <v>1847</v>
      </c>
      <c r="G33">
        <v>916</v>
      </c>
      <c r="H33">
        <v>98.388829215896877</v>
      </c>
      <c r="I33">
        <v>1604</v>
      </c>
      <c r="J33">
        <v>7.74</v>
      </c>
      <c r="K33">
        <v>1546.75</v>
      </c>
      <c r="L33">
        <v>-130.54999999999995</v>
      </c>
      <c r="M33">
        <v>-7.7833422762773479</v>
      </c>
      <c r="N33">
        <v>43622.9</v>
      </c>
      <c r="O33">
        <v>42500</v>
      </c>
      <c r="P33" t="s">
        <v>49</v>
      </c>
      <c r="Q33" t="s">
        <v>25</v>
      </c>
      <c r="R33">
        <v>17116</v>
      </c>
      <c r="S33">
        <v>5359</v>
      </c>
      <c r="T33">
        <v>45.581355788041165</v>
      </c>
      <c r="U33">
        <v>20646</v>
      </c>
      <c r="V33">
        <v>13.91</v>
      </c>
      <c r="W33">
        <v>208.75</v>
      </c>
      <c r="X33">
        <v>-15.650000000000006</v>
      </c>
      <c r="Y33">
        <v>-6.9741532976827116</v>
      </c>
      <c r="Z33">
        <v>43622.9</v>
      </c>
    </row>
    <row r="34" spans="1:26" x14ac:dyDescent="0.25">
      <c r="A34">
        <v>42600</v>
      </c>
      <c r="B34" t="s">
        <v>49</v>
      </c>
      <c r="C34">
        <v>42600</v>
      </c>
      <c r="D34" t="s">
        <v>49</v>
      </c>
      <c r="E34" t="s">
        <v>25</v>
      </c>
      <c r="F34">
        <v>19</v>
      </c>
      <c r="G34">
        <v>0</v>
      </c>
      <c r="H34">
        <v>0</v>
      </c>
      <c r="I34">
        <v>1</v>
      </c>
      <c r="J34">
        <v>10.88</v>
      </c>
      <c r="K34">
        <v>1537.55</v>
      </c>
      <c r="L34">
        <v>-134.40000000000009</v>
      </c>
      <c r="M34">
        <v>-8.0385178982625138</v>
      </c>
      <c r="N34">
        <v>43622.9</v>
      </c>
      <c r="O34">
        <v>42600</v>
      </c>
      <c r="P34" t="s">
        <v>49</v>
      </c>
      <c r="Q34" t="s">
        <v>25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43622.9</v>
      </c>
    </row>
    <row r="35" spans="1:26" x14ac:dyDescent="0.25">
      <c r="A35">
        <v>42700</v>
      </c>
      <c r="B35" t="s">
        <v>49</v>
      </c>
      <c r="C35">
        <v>42700</v>
      </c>
      <c r="D35" t="s">
        <v>49</v>
      </c>
      <c r="E35" t="s">
        <v>25</v>
      </c>
      <c r="F35">
        <v>28</v>
      </c>
      <c r="G35">
        <v>2</v>
      </c>
      <c r="H35">
        <v>7.6923076923076925</v>
      </c>
      <c r="I35">
        <v>10</v>
      </c>
      <c r="J35">
        <v>7.18</v>
      </c>
      <c r="K35">
        <v>1353.35</v>
      </c>
      <c r="L35">
        <v>-267.65000000000009</v>
      </c>
      <c r="M35">
        <v>-16.511412708204816</v>
      </c>
      <c r="N35">
        <v>43622.9</v>
      </c>
      <c r="O35">
        <v>42700</v>
      </c>
      <c r="P35" t="s">
        <v>49</v>
      </c>
      <c r="Q35" t="s">
        <v>25</v>
      </c>
      <c r="R35">
        <v>612</v>
      </c>
      <c r="S35">
        <v>423</v>
      </c>
      <c r="T35">
        <v>223.8095238095238</v>
      </c>
      <c r="U35">
        <v>1590</v>
      </c>
      <c r="V35">
        <v>13.8</v>
      </c>
      <c r="W35">
        <v>243.9</v>
      </c>
      <c r="X35">
        <v>-16.799999999999983</v>
      </c>
      <c r="Y35">
        <v>-6.444188722669729</v>
      </c>
      <c r="Z35">
        <v>43622.9</v>
      </c>
    </row>
    <row r="36" spans="1:26" x14ac:dyDescent="0.25">
      <c r="A36">
        <v>42800</v>
      </c>
      <c r="B36" t="s">
        <v>49</v>
      </c>
      <c r="C36">
        <v>42800</v>
      </c>
      <c r="D36" t="s">
        <v>49</v>
      </c>
      <c r="E36" t="s">
        <v>25</v>
      </c>
      <c r="F36">
        <v>139</v>
      </c>
      <c r="G36">
        <v>2</v>
      </c>
      <c r="H36">
        <v>1.4598540145985399</v>
      </c>
      <c r="I36">
        <v>16</v>
      </c>
      <c r="J36">
        <v>9.11</v>
      </c>
      <c r="K36">
        <v>1315.75</v>
      </c>
      <c r="L36">
        <v>-133.40000000000009</v>
      </c>
      <c r="M36">
        <v>-9.2053962667770808</v>
      </c>
      <c r="N36">
        <v>43622.9</v>
      </c>
      <c r="O36">
        <v>42800</v>
      </c>
      <c r="P36" t="s">
        <v>49</v>
      </c>
      <c r="Q36" t="s">
        <v>25</v>
      </c>
      <c r="R36">
        <v>500</v>
      </c>
      <c r="S36">
        <v>487</v>
      </c>
      <c r="T36">
        <v>3746.1538461538462</v>
      </c>
      <c r="U36">
        <v>1722</v>
      </c>
      <c r="V36">
        <v>13.66</v>
      </c>
      <c r="W36">
        <v>265</v>
      </c>
      <c r="X36">
        <v>-29.899999999999977</v>
      </c>
      <c r="Y36">
        <v>-10.139030179721932</v>
      </c>
      <c r="Z36">
        <v>43622.9</v>
      </c>
    </row>
    <row r="37" spans="1:26" x14ac:dyDescent="0.25">
      <c r="A37">
        <v>42900</v>
      </c>
      <c r="B37" t="s">
        <v>49</v>
      </c>
      <c r="C37">
        <v>42900</v>
      </c>
      <c r="D37" t="s">
        <v>49</v>
      </c>
      <c r="E37" t="s">
        <v>25</v>
      </c>
      <c r="F37">
        <v>183</v>
      </c>
      <c r="G37">
        <v>163</v>
      </c>
      <c r="H37">
        <v>815</v>
      </c>
      <c r="I37">
        <v>219</v>
      </c>
      <c r="J37">
        <v>8.51</v>
      </c>
      <c r="K37">
        <v>1213.3499999999999</v>
      </c>
      <c r="L37">
        <v>-146.65000000000009</v>
      </c>
      <c r="M37">
        <v>-10.783088235294125</v>
      </c>
      <c r="N37">
        <v>43622.9</v>
      </c>
      <c r="O37">
        <v>42900</v>
      </c>
      <c r="P37" t="s">
        <v>49</v>
      </c>
      <c r="Q37" t="s">
        <v>25</v>
      </c>
      <c r="R37">
        <v>366</v>
      </c>
      <c r="S37">
        <v>366</v>
      </c>
      <c r="T37">
        <v>0</v>
      </c>
      <c r="U37">
        <v>748</v>
      </c>
      <c r="V37">
        <v>13.64</v>
      </c>
      <c r="W37">
        <v>290.14999999999998</v>
      </c>
      <c r="X37">
        <v>-1317</v>
      </c>
      <c r="Y37">
        <v>-81.946302460877945</v>
      </c>
      <c r="Z37">
        <v>43622.9</v>
      </c>
    </row>
    <row r="38" spans="1:26" x14ac:dyDescent="0.25">
      <c r="A38">
        <v>43000</v>
      </c>
      <c r="B38" t="s">
        <v>49</v>
      </c>
      <c r="C38">
        <v>43000</v>
      </c>
      <c r="D38" t="s">
        <v>49</v>
      </c>
      <c r="E38" t="s">
        <v>25</v>
      </c>
      <c r="F38">
        <v>19782</v>
      </c>
      <c r="G38">
        <v>14133</v>
      </c>
      <c r="H38">
        <v>250.18587360594796</v>
      </c>
      <c r="I38">
        <v>25676</v>
      </c>
      <c r="J38">
        <v>9.23</v>
      </c>
      <c r="K38">
        <v>1157.55</v>
      </c>
      <c r="L38">
        <v>-122.54999999999995</v>
      </c>
      <c r="M38">
        <v>-9.5734708225919825</v>
      </c>
      <c r="N38">
        <v>43622.9</v>
      </c>
      <c r="O38">
        <v>43000</v>
      </c>
      <c r="P38" t="s">
        <v>49</v>
      </c>
      <c r="Q38" t="s">
        <v>25</v>
      </c>
      <c r="R38">
        <v>56158</v>
      </c>
      <c r="S38">
        <v>37096</v>
      </c>
      <c r="T38">
        <v>194.60707166089605</v>
      </c>
      <c r="U38">
        <v>78253</v>
      </c>
      <c r="V38">
        <v>13.54</v>
      </c>
      <c r="W38">
        <v>313.75</v>
      </c>
      <c r="X38">
        <v>-15.399999999999975</v>
      </c>
      <c r="Y38">
        <v>-4.6787179097675766</v>
      </c>
      <c r="Z38">
        <v>43622.9</v>
      </c>
    </row>
    <row r="39" spans="1:26" x14ac:dyDescent="0.25">
      <c r="A39">
        <v>43100</v>
      </c>
      <c r="B39" t="s">
        <v>49</v>
      </c>
      <c r="C39">
        <v>43100</v>
      </c>
      <c r="D39" t="s">
        <v>49</v>
      </c>
      <c r="E39" t="s">
        <v>25</v>
      </c>
      <c r="F39">
        <v>65</v>
      </c>
      <c r="G39">
        <v>8</v>
      </c>
      <c r="H39">
        <v>14.035087719298245</v>
      </c>
      <c r="I39">
        <v>67</v>
      </c>
      <c r="J39">
        <v>10.050000000000001</v>
      </c>
      <c r="K39">
        <v>1112.5999999999999</v>
      </c>
      <c r="L39">
        <v>-232.40000000000009</v>
      </c>
      <c r="M39">
        <v>-17.278810408921942</v>
      </c>
      <c r="N39">
        <v>43622.9</v>
      </c>
      <c r="O39">
        <v>43100</v>
      </c>
      <c r="P39" t="s">
        <v>49</v>
      </c>
      <c r="Q39" t="s">
        <v>25</v>
      </c>
      <c r="R39">
        <v>558</v>
      </c>
      <c r="S39">
        <v>364</v>
      </c>
      <c r="T39">
        <v>187.62886597938143</v>
      </c>
      <c r="U39">
        <v>1109</v>
      </c>
      <c r="V39">
        <v>13.63</v>
      </c>
      <c r="W39">
        <v>377.25</v>
      </c>
      <c r="X39">
        <v>23.399999999999977</v>
      </c>
      <c r="Y39">
        <v>6.6129715981347967</v>
      </c>
      <c r="Z39">
        <v>43622.9</v>
      </c>
    </row>
    <row r="40" spans="1:26" x14ac:dyDescent="0.25">
      <c r="A40">
        <v>43200</v>
      </c>
      <c r="B40" t="s">
        <v>49</v>
      </c>
      <c r="C40">
        <v>43200</v>
      </c>
      <c r="D40" t="s">
        <v>49</v>
      </c>
      <c r="E40" t="s">
        <v>25</v>
      </c>
      <c r="F40">
        <v>169</v>
      </c>
      <c r="G40">
        <v>45</v>
      </c>
      <c r="H40">
        <v>36.29032258064516</v>
      </c>
      <c r="I40">
        <v>255</v>
      </c>
      <c r="J40">
        <v>9.33</v>
      </c>
      <c r="K40">
        <v>1008.7</v>
      </c>
      <c r="L40">
        <v>-151.84999999999991</v>
      </c>
      <c r="M40">
        <v>-13.084313472060655</v>
      </c>
      <c r="N40">
        <v>43622.9</v>
      </c>
      <c r="O40">
        <v>43200</v>
      </c>
      <c r="P40" t="s">
        <v>49</v>
      </c>
      <c r="Q40" t="s">
        <v>25</v>
      </c>
      <c r="R40">
        <v>614</v>
      </c>
      <c r="S40">
        <v>242</v>
      </c>
      <c r="T40">
        <v>65.053763440860209</v>
      </c>
      <c r="U40">
        <v>1190</v>
      </c>
      <c r="V40">
        <v>13.58</v>
      </c>
      <c r="W40">
        <v>375.75</v>
      </c>
      <c r="X40">
        <v>-11.600000000000025</v>
      </c>
      <c r="Y40">
        <v>-2.9947076287595258</v>
      </c>
      <c r="Z40">
        <v>43622.9</v>
      </c>
    </row>
    <row r="41" spans="1:26" x14ac:dyDescent="0.25">
      <c r="A41">
        <v>43300</v>
      </c>
      <c r="B41" t="s">
        <v>49</v>
      </c>
      <c r="C41">
        <v>43300</v>
      </c>
      <c r="D41" t="s">
        <v>49</v>
      </c>
      <c r="E41" t="s">
        <v>25</v>
      </c>
      <c r="F41">
        <v>143</v>
      </c>
      <c r="G41">
        <v>20</v>
      </c>
      <c r="H41">
        <v>16.260162601626018</v>
      </c>
      <c r="I41">
        <v>94</v>
      </c>
      <c r="J41">
        <v>9.44</v>
      </c>
      <c r="K41">
        <v>941.05</v>
      </c>
      <c r="L41">
        <v>-131.95000000000005</v>
      </c>
      <c r="M41">
        <v>-12.297297297297302</v>
      </c>
      <c r="N41">
        <v>43622.9</v>
      </c>
      <c r="O41">
        <v>43300</v>
      </c>
      <c r="P41" t="s">
        <v>49</v>
      </c>
      <c r="Q41" t="s">
        <v>25</v>
      </c>
      <c r="R41">
        <v>1021</v>
      </c>
      <c r="S41">
        <v>545</v>
      </c>
      <c r="T41">
        <v>114.49579831932772</v>
      </c>
      <c r="U41">
        <v>1811</v>
      </c>
      <c r="V41">
        <v>13.62</v>
      </c>
      <c r="W41">
        <v>415.35</v>
      </c>
      <c r="X41">
        <v>-3.75</v>
      </c>
      <c r="Y41">
        <v>-0.89477451682176079</v>
      </c>
      <c r="Z41">
        <v>43622.9</v>
      </c>
    </row>
    <row r="42" spans="1:26" x14ac:dyDescent="0.25">
      <c r="A42">
        <v>43400</v>
      </c>
      <c r="B42" t="s">
        <v>49</v>
      </c>
      <c r="C42">
        <v>43400</v>
      </c>
      <c r="D42" t="s">
        <v>49</v>
      </c>
      <c r="E42" t="s">
        <v>25</v>
      </c>
      <c r="F42">
        <v>304</v>
      </c>
      <c r="G42">
        <v>-29</v>
      </c>
      <c r="H42">
        <v>-8.7087087087087092</v>
      </c>
      <c r="I42">
        <v>637</v>
      </c>
      <c r="J42">
        <v>9.6300000000000008</v>
      </c>
      <c r="K42">
        <v>902.05</v>
      </c>
      <c r="L42">
        <v>-106.40000000000008</v>
      </c>
      <c r="M42">
        <v>-10.550845356735593</v>
      </c>
      <c r="N42">
        <v>43622.9</v>
      </c>
      <c r="O42">
        <v>43400</v>
      </c>
      <c r="P42" t="s">
        <v>49</v>
      </c>
      <c r="Q42" t="s">
        <v>25</v>
      </c>
      <c r="R42">
        <v>804</v>
      </c>
      <c r="S42">
        <v>155</v>
      </c>
      <c r="T42">
        <v>23.882896764252695</v>
      </c>
      <c r="U42">
        <v>1734</v>
      </c>
      <c r="V42">
        <v>13.58</v>
      </c>
      <c r="W42">
        <v>446.65</v>
      </c>
      <c r="X42">
        <v>-3.1000000000000227</v>
      </c>
      <c r="Y42">
        <v>-0.68927181767649204</v>
      </c>
      <c r="Z42">
        <v>43622.9</v>
      </c>
    </row>
    <row r="43" spans="1:26" x14ac:dyDescent="0.25">
      <c r="A43">
        <v>43500</v>
      </c>
      <c r="B43" t="s">
        <v>49</v>
      </c>
      <c r="C43">
        <v>43500</v>
      </c>
      <c r="D43" t="s">
        <v>49</v>
      </c>
      <c r="E43" t="s">
        <v>25</v>
      </c>
      <c r="F43">
        <v>8477</v>
      </c>
      <c r="G43">
        <v>2317</v>
      </c>
      <c r="H43">
        <v>37.613636363636367</v>
      </c>
      <c r="I43">
        <v>15643</v>
      </c>
      <c r="J43">
        <v>10.220000000000001</v>
      </c>
      <c r="K43">
        <v>825</v>
      </c>
      <c r="L43">
        <v>-118.60000000000002</v>
      </c>
      <c r="M43">
        <v>-12.568885120813905</v>
      </c>
      <c r="N43">
        <v>43622.9</v>
      </c>
      <c r="O43">
        <v>43500</v>
      </c>
      <c r="P43" t="s">
        <v>49</v>
      </c>
      <c r="Q43" t="s">
        <v>25</v>
      </c>
      <c r="R43">
        <v>26494</v>
      </c>
      <c r="S43">
        <v>13023</v>
      </c>
      <c r="T43">
        <v>96.674337465666994</v>
      </c>
      <c r="U43">
        <v>47263</v>
      </c>
      <c r="V43">
        <v>13.57</v>
      </c>
      <c r="W43">
        <v>483.2</v>
      </c>
      <c r="X43">
        <v>-4.25</v>
      </c>
      <c r="Y43">
        <v>-0.87188429582521276</v>
      </c>
      <c r="Z43">
        <v>43622.9</v>
      </c>
    </row>
    <row r="44" spans="1:26" x14ac:dyDescent="0.25">
      <c r="A44">
        <v>43600</v>
      </c>
      <c r="B44" t="s">
        <v>49</v>
      </c>
      <c r="C44">
        <v>43600</v>
      </c>
      <c r="D44" t="s">
        <v>49</v>
      </c>
      <c r="E44" t="s">
        <v>25</v>
      </c>
      <c r="F44">
        <v>792</v>
      </c>
      <c r="G44">
        <v>505</v>
      </c>
      <c r="H44">
        <v>175.95818815331012</v>
      </c>
      <c r="I44">
        <v>2682</v>
      </c>
      <c r="J44">
        <v>9.91</v>
      </c>
      <c r="K44">
        <v>765.05</v>
      </c>
      <c r="L44">
        <v>-116.45000000000005</v>
      </c>
      <c r="M44">
        <v>-13.210436755530347</v>
      </c>
      <c r="N44">
        <v>43622.9</v>
      </c>
      <c r="O44">
        <v>43600</v>
      </c>
      <c r="P44" t="s">
        <v>49</v>
      </c>
      <c r="Q44" t="s">
        <v>25</v>
      </c>
      <c r="R44">
        <v>1151</v>
      </c>
      <c r="S44">
        <v>641</v>
      </c>
      <c r="T44">
        <v>125.68627450980392</v>
      </c>
      <c r="U44">
        <v>5548</v>
      </c>
      <c r="V44">
        <v>13.43</v>
      </c>
      <c r="W44">
        <v>516.70000000000005</v>
      </c>
      <c r="X44">
        <v>-9.75</v>
      </c>
      <c r="Y44">
        <v>-1.8520277329281032</v>
      </c>
      <c r="Z44">
        <v>43622.9</v>
      </c>
    </row>
    <row r="45" spans="1:26" x14ac:dyDescent="0.25">
      <c r="A45">
        <v>43700</v>
      </c>
      <c r="B45" t="s">
        <v>49</v>
      </c>
      <c r="C45">
        <v>43700</v>
      </c>
      <c r="D45" t="s">
        <v>49</v>
      </c>
      <c r="E45" t="s">
        <v>25</v>
      </c>
      <c r="F45">
        <v>1295</v>
      </c>
      <c r="G45">
        <v>677</v>
      </c>
      <c r="H45">
        <v>109.54692556634303</v>
      </c>
      <c r="I45">
        <v>3321</v>
      </c>
      <c r="J45">
        <v>10.029999999999999</v>
      </c>
      <c r="K45">
        <v>711</v>
      </c>
      <c r="L45">
        <v>-111.60000000000002</v>
      </c>
      <c r="M45">
        <v>-13.566739606126918</v>
      </c>
      <c r="N45">
        <v>43622.9</v>
      </c>
      <c r="O45">
        <v>43700</v>
      </c>
      <c r="P45" t="s">
        <v>49</v>
      </c>
      <c r="Q45" t="s">
        <v>25</v>
      </c>
      <c r="R45">
        <v>2602</v>
      </c>
      <c r="S45">
        <v>1267</v>
      </c>
      <c r="T45">
        <v>94.906367041198521</v>
      </c>
      <c r="U45">
        <v>10291</v>
      </c>
      <c r="V45">
        <v>13.73</v>
      </c>
      <c r="W45">
        <v>574.35</v>
      </c>
      <c r="X45">
        <v>10.25</v>
      </c>
      <c r="Y45">
        <v>1.8170537138805176</v>
      </c>
      <c r="Z45">
        <v>43622.9</v>
      </c>
    </row>
    <row r="46" spans="1:26" x14ac:dyDescent="0.25">
      <c r="A46">
        <v>43800</v>
      </c>
      <c r="B46" t="s">
        <v>49</v>
      </c>
      <c r="C46">
        <v>43800</v>
      </c>
      <c r="D46" t="s">
        <v>49</v>
      </c>
      <c r="E46" t="s">
        <v>25</v>
      </c>
      <c r="F46">
        <v>1908</v>
      </c>
      <c r="G46">
        <v>799</v>
      </c>
      <c r="H46">
        <v>72.046889089269612</v>
      </c>
      <c r="I46">
        <v>4242</v>
      </c>
      <c r="J46">
        <v>10.130000000000001</v>
      </c>
      <c r="K46">
        <v>659</v>
      </c>
      <c r="L46">
        <v>-107.79999999999995</v>
      </c>
      <c r="M46">
        <v>-14.0584246218049</v>
      </c>
      <c r="N46">
        <v>43622.9</v>
      </c>
      <c r="O46">
        <v>43800</v>
      </c>
      <c r="P46" t="s">
        <v>49</v>
      </c>
      <c r="Q46" t="s">
        <v>25</v>
      </c>
      <c r="R46">
        <v>2355</v>
      </c>
      <c r="S46">
        <v>645</v>
      </c>
      <c r="T46">
        <v>37.719298245614034</v>
      </c>
      <c r="U46">
        <v>7847</v>
      </c>
      <c r="V46">
        <v>13.72</v>
      </c>
      <c r="W46">
        <v>617.85</v>
      </c>
      <c r="X46">
        <v>10.950000000000044</v>
      </c>
      <c r="Y46">
        <v>1.8042511122095972</v>
      </c>
      <c r="Z46">
        <v>43622.9</v>
      </c>
    </row>
    <row r="47" spans="1:26" x14ac:dyDescent="0.25">
      <c r="A47">
        <v>43900</v>
      </c>
      <c r="B47" t="s">
        <v>49</v>
      </c>
      <c r="C47">
        <v>43900</v>
      </c>
      <c r="D47" t="s">
        <v>49</v>
      </c>
      <c r="E47" t="s">
        <v>25</v>
      </c>
      <c r="F47">
        <v>1042</v>
      </c>
      <c r="G47">
        <v>367</v>
      </c>
      <c r="H47">
        <v>54.370370370370374</v>
      </c>
      <c r="I47">
        <v>1975</v>
      </c>
      <c r="J47">
        <v>10.15</v>
      </c>
      <c r="K47">
        <v>605.6</v>
      </c>
      <c r="L47">
        <v>-109.29999999999995</v>
      </c>
      <c r="M47">
        <v>-15.288851587634628</v>
      </c>
      <c r="N47">
        <v>43622.9</v>
      </c>
      <c r="O47">
        <v>43900</v>
      </c>
      <c r="P47" t="s">
        <v>49</v>
      </c>
      <c r="Q47" t="s">
        <v>25</v>
      </c>
      <c r="R47">
        <v>941</v>
      </c>
      <c r="S47">
        <v>238</v>
      </c>
      <c r="T47">
        <v>33.854907539118066</v>
      </c>
      <c r="U47">
        <v>2917</v>
      </c>
      <c r="V47">
        <v>13.7</v>
      </c>
      <c r="W47">
        <v>675.95</v>
      </c>
      <c r="X47">
        <v>26.300000000000068</v>
      </c>
      <c r="Y47">
        <v>4.0483337181559405</v>
      </c>
      <c r="Z47">
        <v>43622.9</v>
      </c>
    </row>
    <row r="48" spans="1:26" x14ac:dyDescent="0.25">
      <c r="A48">
        <v>44000</v>
      </c>
      <c r="B48" t="s">
        <v>49</v>
      </c>
      <c r="C48">
        <v>44000</v>
      </c>
      <c r="D48" t="s">
        <v>49</v>
      </c>
      <c r="E48" t="s">
        <v>25</v>
      </c>
      <c r="F48">
        <v>19500</v>
      </c>
      <c r="G48">
        <v>5529</v>
      </c>
      <c r="H48">
        <v>39.574833583852268</v>
      </c>
      <c r="I48">
        <v>36261</v>
      </c>
      <c r="J48">
        <v>10.35</v>
      </c>
      <c r="K48">
        <v>565</v>
      </c>
      <c r="L48">
        <v>-94.75</v>
      </c>
      <c r="M48">
        <v>-14.361500568397121</v>
      </c>
      <c r="N48">
        <v>43622.9</v>
      </c>
      <c r="O48">
        <v>44000</v>
      </c>
      <c r="P48" t="s">
        <v>49</v>
      </c>
      <c r="Q48" t="s">
        <v>25</v>
      </c>
      <c r="R48">
        <v>23459</v>
      </c>
      <c r="S48">
        <v>7742</v>
      </c>
      <c r="T48">
        <v>49.258764395240824</v>
      </c>
      <c r="U48">
        <v>37428</v>
      </c>
      <c r="V48">
        <v>13.68</v>
      </c>
      <c r="W48">
        <v>703</v>
      </c>
      <c r="X48">
        <v>4.9500000000000455</v>
      </c>
      <c r="Y48">
        <v>0.7091182580044475</v>
      </c>
      <c r="Z48">
        <v>43622.9</v>
      </c>
    </row>
    <row r="49" spans="1:26" x14ac:dyDescent="0.25">
      <c r="A49">
        <v>44100</v>
      </c>
      <c r="B49" t="s">
        <v>49</v>
      </c>
      <c r="C49">
        <v>44100</v>
      </c>
      <c r="D49" t="s">
        <v>49</v>
      </c>
      <c r="E49" t="s">
        <v>25</v>
      </c>
      <c r="F49">
        <v>740</v>
      </c>
      <c r="G49">
        <v>133</v>
      </c>
      <c r="H49">
        <v>21.911037891268535</v>
      </c>
      <c r="I49">
        <v>1053</v>
      </c>
      <c r="J49">
        <v>10.27</v>
      </c>
      <c r="K49">
        <v>523</v>
      </c>
      <c r="L49">
        <v>-86.899999999999977</v>
      </c>
      <c r="M49">
        <v>-14.248237415969829</v>
      </c>
      <c r="N49">
        <v>43622.9</v>
      </c>
      <c r="O49">
        <v>44100</v>
      </c>
      <c r="P49" t="s">
        <v>49</v>
      </c>
      <c r="Q49" t="s">
        <v>25</v>
      </c>
      <c r="R49">
        <v>505</v>
      </c>
      <c r="S49">
        <v>-7</v>
      </c>
      <c r="T49">
        <v>-1.3671875</v>
      </c>
      <c r="U49">
        <v>807</v>
      </c>
      <c r="V49">
        <v>13.86</v>
      </c>
      <c r="W49">
        <v>774.1</v>
      </c>
      <c r="X49">
        <v>29.950000000000045</v>
      </c>
      <c r="Y49">
        <v>4.0247261976752062</v>
      </c>
      <c r="Z49">
        <v>43622.9</v>
      </c>
    </row>
    <row r="50" spans="1:26" x14ac:dyDescent="0.25">
      <c r="A50">
        <v>44200</v>
      </c>
      <c r="B50" t="s">
        <v>49</v>
      </c>
      <c r="C50">
        <v>44200</v>
      </c>
      <c r="D50" t="s">
        <v>49</v>
      </c>
      <c r="E50" t="s">
        <v>25</v>
      </c>
      <c r="F50">
        <v>940</v>
      </c>
      <c r="G50">
        <v>153</v>
      </c>
      <c r="H50">
        <v>19.440914866581956</v>
      </c>
      <c r="I50">
        <v>1551</v>
      </c>
      <c r="J50">
        <v>10.34</v>
      </c>
      <c r="K50">
        <v>475.85</v>
      </c>
      <c r="L50">
        <v>-84.25</v>
      </c>
      <c r="M50">
        <v>-15.041956793429744</v>
      </c>
      <c r="N50">
        <v>43622.9</v>
      </c>
      <c r="O50">
        <v>44200</v>
      </c>
      <c r="P50" t="s">
        <v>49</v>
      </c>
      <c r="Q50" t="s">
        <v>25</v>
      </c>
      <c r="R50">
        <v>578</v>
      </c>
      <c r="S50">
        <v>-238</v>
      </c>
      <c r="T50">
        <v>-29.166666666666668</v>
      </c>
      <c r="U50">
        <v>1662</v>
      </c>
      <c r="V50">
        <v>14.01</v>
      </c>
      <c r="W50">
        <v>832.05</v>
      </c>
      <c r="X50">
        <v>32.849999999999909</v>
      </c>
      <c r="Y50">
        <v>4.1103603603603487</v>
      </c>
      <c r="Z50">
        <v>43622.9</v>
      </c>
    </row>
    <row r="51" spans="1:26" x14ac:dyDescent="0.25">
      <c r="A51">
        <v>44300</v>
      </c>
      <c r="B51" t="s">
        <v>49</v>
      </c>
      <c r="C51">
        <v>44300</v>
      </c>
      <c r="D51" t="s">
        <v>49</v>
      </c>
      <c r="E51" t="s">
        <v>25</v>
      </c>
      <c r="F51">
        <v>716</v>
      </c>
      <c r="G51">
        <v>239</v>
      </c>
      <c r="H51">
        <v>50.104821802935014</v>
      </c>
      <c r="I51">
        <v>749</v>
      </c>
      <c r="J51">
        <v>10.35</v>
      </c>
      <c r="K51">
        <v>426.9</v>
      </c>
      <c r="L51">
        <v>-89.550000000000068</v>
      </c>
      <c r="M51">
        <v>-17.33952948010457</v>
      </c>
      <c r="N51">
        <v>43622.9</v>
      </c>
      <c r="O51">
        <v>44300</v>
      </c>
      <c r="P51" t="s">
        <v>49</v>
      </c>
      <c r="Q51" t="s">
        <v>25</v>
      </c>
      <c r="R51">
        <v>326</v>
      </c>
      <c r="S51">
        <v>17</v>
      </c>
      <c r="T51">
        <v>5.5016181229773462</v>
      </c>
      <c r="U51">
        <v>545</v>
      </c>
      <c r="V51">
        <v>14.06</v>
      </c>
      <c r="W51">
        <v>889.55</v>
      </c>
      <c r="X51">
        <v>47.699999999999932</v>
      </c>
      <c r="Y51">
        <v>5.6660925342994517</v>
      </c>
      <c r="Z51">
        <v>43622.9</v>
      </c>
    </row>
    <row r="52" spans="1:26" x14ac:dyDescent="0.25">
      <c r="A52">
        <v>44400</v>
      </c>
      <c r="B52" t="s">
        <v>49</v>
      </c>
      <c r="C52">
        <v>44400</v>
      </c>
      <c r="D52" t="s">
        <v>49</v>
      </c>
      <c r="E52" t="s">
        <v>25</v>
      </c>
      <c r="F52">
        <v>519</v>
      </c>
      <c r="G52">
        <v>105</v>
      </c>
      <c r="H52">
        <v>25.362318840579711</v>
      </c>
      <c r="I52">
        <v>1319</v>
      </c>
      <c r="J52">
        <v>10.039999999999999</v>
      </c>
      <c r="K52">
        <v>372.3</v>
      </c>
      <c r="L52">
        <v>-101.09999999999997</v>
      </c>
      <c r="M52">
        <v>-21.356147021546253</v>
      </c>
      <c r="N52">
        <v>43622.9</v>
      </c>
      <c r="O52">
        <v>44400</v>
      </c>
      <c r="P52" t="s">
        <v>49</v>
      </c>
      <c r="Q52" t="s">
        <v>25</v>
      </c>
      <c r="R52">
        <v>205</v>
      </c>
      <c r="S52">
        <v>-204</v>
      </c>
      <c r="T52">
        <v>-49.877750611246945</v>
      </c>
      <c r="U52">
        <v>631</v>
      </c>
      <c r="V52">
        <v>14.13</v>
      </c>
      <c r="W52">
        <v>948</v>
      </c>
      <c r="X52">
        <v>44.5</v>
      </c>
      <c r="Y52">
        <v>4.9252905368013282</v>
      </c>
      <c r="Z52">
        <v>43622.9</v>
      </c>
    </row>
    <row r="53" spans="1:26" x14ac:dyDescent="0.25">
      <c r="A53">
        <v>44500</v>
      </c>
      <c r="B53" t="s">
        <v>49</v>
      </c>
      <c r="C53">
        <v>44500</v>
      </c>
      <c r="D53" t="s">
        <v>49</v>
      </c>
      <c r="E53" t="s">
        <v>25</v>
      </c>
      <c r="F53">
        <v>13129</v>
      </c>
      <c r="G53">
        <v>3245</v>
      </c>
      <c r="H53">
        <v>32.830837717523266</v>
      </c>
      <c r="I53">
        <v>23337</v>
      </c>
      <c r="J53">
        <v>10.41</v>
      </c>
      <c r="K53">
        <v>354.05</v>
      </c>
      <c r="L53">
        <v>-75.949999999999989</v>
      </c>
      <c r="M53">
        <v>-17.662790697674417</v>
      </c>
      <c r="N53">
        <v>43622.9</v>
      </c>
      <c r="O53">
        <v>44500</v>
      </c>
      <c r="P53" t="s">
        <v>49</v>
      </c>
      <c r="Q53" t="s">
        <v>25</v>
      </c>
      <c r="R53">
        <v>4466</v>
      </c>
      <c r="S53">
        <v>-525</v>
      </c>
      <c r="T53">
        <v>-10.518934081346424</v>
      </c>
      <c r="U53">
        <v>4383</v>
      </c>
      <c r="V53">
        <v>14.07</v>
      </c>
      <c r="W53">
        <v>1000.15</v>
      </c>
      <c r="X53">
        <v>38.100000000000023</v>
      </c>
      <c r="Y53">
        <v>3.960293124058003</v>
      </c>
      <c r="Z53">
        <v>43622.9</v>
      </c>
    </row>
    <row r="54" spans="1:26" x14ac:dyDescent="0.25">
      <c r="A54">
        <v>44600</v>
      </c>
      <c r="B54" t="s">
        <v>49</v>
      </c>
      <c r="C54">
        <v>44600</v>
      </c>
      <c r="D54" t="s">
        <v>49</v>
      </c>
      <c r="E54" t="s">
        <v>25</v>
      </c>
      <c r="F54">
        <v>606</v>
      </c>
      <c r="G54">
        <v>174</v>
      </c>
      <c r="H54">
        <v>40.277777777777779</v>
      </c>
      <c r="I54">
        <v>1226</v>
      </c>
      <c r="J54">
        <v>10.41</v>
      </c>
      <c r="K54">
        <v>309.60000000000002</v>
      </c>
      <c r="L54">
        <v>-82.099999999999966</v>
      </c>
      <c r="M54">
        <v>-20.959918304825113</v>
      </c>
      <c r="N54">
        <v>43622.9</v>
      </c>
      <c r="O54">
        <v>44600</v>
      </c>
      <c r="P54" t="s">
        <v>49</v>
      </c>
      <c r="Q54" t="s">
        <v>25</v>
      </c>
      <c r="R54">
        <v>783</v>
      </c>
      <c r="S54">
        <v>14</v>
      </c>
      <c r="T54">
        <v>1.8205461638491549</v>
      </c>
      <c r="U54">
        <v>380</v>
      </c>
      <c r="V54">
        <v>14.19</v>
      </c>
      <c r="W54">
        <v>1073.5999999999999</v>
      </c>
      <c r="X54">
        <v>52.649999999999864</v>
      </c>
      <c r="Y54">
        <v>5.1569616533620515</v>
      </c>
      <c r="Z54">
        <v>43622.9</v>
      </c>
    </row>
    <row r="55" spans="1:26" x14ac:dyDescent="0.25">
      <c r="A55">
        <v>44700</v>
      </c>
      <c r="B55" t="s">
        <v>49</v>
      </c>
      <c r="C55">
        <v>44700</v>
      </c>
      <c r="D55" t="s">
        <v>49</v>
      </c>
      <c r="E55" t="s">
        <v>25</v>
      </c>
      <c r="F55">
        <v>646</v>
      </c>
      <c r="G55">
        <v>155</v>
      </c>
      <c r="H55">
        <v>31.568228105906311</v>
      </c>
      <c r="I55">
        <v>1680</v>
      </c>
      <c r="J55">
        <v>10.4</v>
      </c>
      <c r="K55">
        <v>287.5</v>
      </c>
      <c r="L55">
        <v>-65.149999999999977</v>
      </c>
      <c r="M55">
        <v>-18.474408053310643</v>
      </c>
      <c r="N55">
        <v>43622.9</v>
      </c>
      <c r="O55">
        <v>44700</v>
      </c>
      <c r="P55" t="s">
        <v>49</v>
      </c>
      <c r="Q55" t="s">
        <v>25</v>
      </c>
      <c r="R55">
        <v>164</v>
      </c>
      <c r="S55">
        <v>6</v>
      </c>
      <c r="T55">
        <v>3.7974683544303791</v>
      </c>
      <c r="U55">
        <v>47</v>
      </c>
      <c r="V55">
        <v>13.7</v>
      </c>
      <c r="W55">
        <v>1111.45</v>
      </c>
      <c r="X55">
        <v>28.799999999999955</v>
      </c>
      <c r="Y55">
        <v>2.6601394725903988</v>
      </c>
      <c r="Z55">
        <v>43622.9</v>
      </c>
    </row>
    <row r="56" spans="1:26" x14ac:dyDescent="0.25">
      <c r="A56">
        <v>44800</v>
      </c>
      <c r="B56" t="s">
        <v>49</v>
      </c>
      <c r="C56">
        <v>44800</v>
      </c>
      <c r="D56" t="s">
        <v>49</v>
      </c>
      <c r="E56" t="s">
        <v>25</v>
      </c>
      <c r="F56">
        <v>1099</v>
      </c>
      <c r="G56">
        <v>117</v>
      </c>
      <c r="H56">
        <v>11.914460285132384</v>
      </c>
      <c r="I56">
        <v>1565</v>
      </c>
      <c r="J56">
        <v>10.44</v>
      </c>
      <c r="K56">
        <v>263.64999999999998</v>
      </c>
      <c r="L56">
        <v>-58.150000000000034</v>
      </c>
      <c r="M56">
        <v>-18.070229956494728</v>
      </c>
      <c r="N56">
        <v>43622.9</v>
      </c>
      <c r="O56">
        <v>44800</v>
      </c>
      <c r="P56" t="s">
        <v>49</v>
      </c>
      <c r="Q56" t="s">
        <v>25</v>
      </c>
      <c r="R56">
        <v>91</v>
      </c>
      <c r="S56">
        <v>-35</v>
      </c>
      <c r="T56">
        <v>-27.777777777777779</v>
      </c>
      <c r="U56">
        <v>119</v>
      </c>
      <c r="V56">
        <v>14.7</v>
      </c>
      <c r="W56">
        <v>1226.3499999999999</v>
      </c>
      <c r="X56">
        <v>64.349999999999909</v>
      </c>
      <c r="Y56">
        <v>5.5378657487091143</v>
      </c>
      <c r="Z56">
        <v>43622.9</v>
      </c>
    </row>
    <row r="57" spans="1:26" x14ac:dyDescent="0.25">
      <c r="A57">
        <v>44900</v>
      </c>
      <c r="B57" t="s">
        <v>49</v>
      </c>
      <c r="C57">
        <v>44900</v>
      </c>
      <c r="D57" t="s">
        <v>49</v>
      </c>
      <c r="E57" t="s">
        <v>25</v>
      </c>
      <c r="F57">
        <v>248</v>
      </c>
      <c r="G57">
        <v>36</v>
      </c>
      <c r="H57">
        <v>16.981132075471699</v>
      </c>
      <c r="I57">
        <v>1147</v>
      </c>
      <c r="J57">
        <v>10.49</v>
      </c>
      <c r="K57">
        <v>230.95</v>
      </c>
      <c r="L57">
        <v>-58.900000000000034</v>
      </c>
      <c r="M57">
        <v>-20.320855614973272</v>
      </c>
      <c r="N57">
        <v>43622.9</v>
      </c>
      <c r="O57">
        <v>44900</v>
      </c>
      <c r="P57" t="s">
        <v>49</v>
      </c>
      <c r="Q57" t="s">
        <v>25</v>
      </c>
      <c r="R57">
        <v>47</v>
      </c>
      <c r="S57">
        <v>0</v>
      </c>
      <c r="T57">
        <v>0</v>
      </c>
      <c r="U57">
        <v>1</v>
      </c>
      <c r="V57">
        <v>14.04</v>
      </c>
      <c r="W57">
        <v>1260.5</v>
      </c>
      <c r="X57">
        <v>127.75</v>
      </c>
      <c r="Y57">
        <v>11.277863606267932</v>
      </c>
      <c r="Z57">
        <v>43622.9</v>
      </c>
    </row>
    <row r="58" spans="1:26" x14ac:dyDescent="0.25">
      <c r="A58">
        <v>45000</v>
      </c>
      <c r="B58" t="s">
        <v>49</v>
      </c>
      <c r="C58">
        <v>45000</v>
      </c>
      <c r="D58" t="s">
        <v>49</v>
      </c>
      <c r="E58" t="s">
        <v>25</v>
      </c>
      <c r="F58">
        <v>22454</v>
      </c>
      <c r="G58">
        <v>3764</v>
      </c>
      <c r="H58">
        <v>20.139111824505083</v>
      </c>
      <c r="I58">
        <v>33910</v>
      </c>
      <c r="J58">
        <v>10.52</v>
      </c>
      <c r="K58">
        <v>215.15</v>
      </c>
      <c r="L58">
        <v>-49.999999999999972</v>
      </c>
      <c r="M58">
        <v>-18.857250612860636</v>
      </c>
      <c r="N58">
        <v>43622.9</v>
      </c>
      <c r="O58">
        <v>45000</v>
      </c>
      <c r="P58" t="s">
        <v>49</v>
      </c>
      <c r="Q58" t="s">
        <v>25</v>
      </c>
      <c r="R58">
        <v>4244</v>
      </c>
      <c r="S58">
        <v>-289</v>
      </c>
      <c r="T58">
        <v>-6.3754687844694464</v>
      </c>
      <c r="U58">
        <v>6837</v>
      </c>
      <c r="V58">
        <v>14.43</v>
      </c>
      <c r="W58">
        <v>1347.35</v>
      </c>
      <c r="X58">
        <v>60</v>
      </c>
      <c r="Y58">
        <v>4.6607371732629046</v>
      </c>
      <c r="Z58">
        <v>43622.9</v>
      </c>
    </row>
    <row r="59" spans="1:26" x14ac:dyDescent="0.25">
      <c r="A59">
        <v>45100</v>
      </c>
      <c r="B59" t="s">
        <v>49</v>
      </c>
      <c r="C59">
        <v>45100</v>
      </c>
      <c r="D59" t="s">
        <v>49</v>
      </c>
      <c r="E59" t="s">
        <v>25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43622.9</v>
      </c>
      <c r="O59">
        <v>45100</v>
      </c>
      <c r="P59" t="s">
        <v>49</v>
      </c>
      <c r="Q59" t="s">
        <v>25</v>
      </c>
      <c r="R59">
        <v>41</v>
      </c>
      <c r="S59">
        <v>-5</v>
      </c>
      <c r="T59">
        <v>-10.869565217391305</v>
      </c>
      <c r="U59">
        <v>5</v>
      </c>
      <c r="V59">
        <v>14</v>
      </c>
      <c r="W59">
        <v>1397.7</v>
      </c>
      <c r="X59">
        <v>13.299999999999956</v>
      </c>
      <c r="Y59">
        <v>0.96070499855532765</v>
      </c>
      <c r="Z59">
        <v>43622.9</v>
      </c>
    </row>
    <row r="60" spans="1:26" x14ac:dyDescent="0.25">
      <c r="A60">
        <v>45200</v>
      </c>
      <c r="B60" t="s">
        <v>49</v>
      </c>
      <c r="C60">
        <v>45200</v>
      </c>
      <c r="D60" t="s">
        <v>49</v>
      </c>
      <c r="E60" t="s">
        <v>25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43622.9</v>
      </c>
      <c r="O60">
        <v>45200</v>
      </c>
      <c r="P60" t="s">
        <v>49</v>
      </c>
      <c r="Q60" t="s">
        <v>25</v>
      </c>
      <c r="R60">
        <v>40</v>
      </c>
      <c r="S60">
        <v>5</v>
      </c>
      <c r="T60">
        <v>14.285714285714286</v>
      </c>
      <c r="U60">
        <v>33</v>
      </c>
      <c r="V60">
        <v>13.11</v>
      </c>
      <c r="W60">
        <v>1430.6</v>
      </c>
      <c r="X60">
        <v>99.099999999999923</v>
      </c>
      <c r="Y60">
        <v>7.4427337589185054</v>
      </c>
      <c r="Z60">
        <v>43622.9</v>
      </c>
    </row>
    <row r="61" spans="1:26" x14ac:dyDescent="0.25">
      <c r="A61">
        <v>45300</v>
      </c>
      <c r="B61" t="s">
        <v>49</v>
      </c>
      <c r="C61">
        <v>45300</v>
      </c>
      <c r="D61" t="s">
        <v>49</v>
      </c>
      <c r="E61" t="s">
        <v>25</v>
      </c>
      <c r="F61">
        <v>977</v>
      </c>
      <c r="G61">
        <v>898</v>
      </c>
      <c r="H61">
        <v>1136.7088607594935</v>
      </c>
      <c r="I61">
        <v>2129</v>
      </c>
      <c r="J61">
        <v>10.56</v>
      </c>
      <c r="K61">
        <v>148.30000000000001</v>
      </c>
      <c r="L61">
        <v>-43.299999999999983</v>
      </c>
      <c r="M61">
        <v>-22.599164926931099</v>
      </c>
      <c r="N61">
        <v>43622.9</v>
      </c>
      <c r="O61">
        <v>45300</v>
      </c>
      <c r="P61" t="s">
        <v>49</v>
      </c>
      <c r="Q61" t="s">
        <v>25</v>
      </c>
      <c r="R61">
        <v>32</v>
      </c>
      <c r="S61">
        <v>-2</v>
      </c>
      <c r="T61">
        <v>-5.882352941176471</v>
      </c>
      <c r="U61">
        <v>2</v>
      </c>
      <c r="V61">
        <v>13.21</v>
      </c>
      <c r="W61">
        <v>1510.05</v>
      </c>
      <c r="X61">
        <v>110.25</v>
      </c>
      <c r="Y61">
        <v>7.8761251607372493</v>
      </c>
      <c r="Z61">
        <v>43622.9</v>
      </c>
    </row>
    <row r="62" spans="1:26" x14ac:dyDescent="0.25">
      <c r="A62">
        <v>45400</v>
      </c>
      <c r="B62" t="s">
        <v>49</v>
      </c>
      <c r="C62">
        <v>45400</v>
      </c>
      <c r="D62" t="s">
        <v>49</v>
      </c>
      <c r="E62" t="s">
        <v>25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43622.9</v>
      </c>
      <c r="O62">
        <v>45400</v>
      </c>
      <c r="P62" t="s">
        <v>49</v>
      </c>
      <c r="Q62" t="s">
        <v>25</v>
      </c>
      <c r="R62">
        <v>11</v>
      </c>
      <c r="S62">
        <v>0</v>
      </c>
      <c r="T62">
        <v>0</v>
      </c>
      <c r="U62">
        <v>6</v>
      </c>
      <c r="V62">
        <v>14.44</v>
      </c>
      <c r="W62">
        <v>1637.75</v>
      </c>
      <c r="X62">
        <v>-71.650000000000091</v>
      </c>
      <c r="Y62">
        <v>-4.191529191529197</v>
      </c>
      <c r="Z62">
        <v>43622.9</v>
      </c>
    </row>
    <row r="63" spans="1:26" x14ac:dyDescent="0.25">
      <c r="A63">
        <v>45500</v>
      </c>
      <c r="B63" t="s">
        <v>49</v>
      </c>
      <c r="C63">
        <v>45500</v>
      </c>
      <c r="D63" t="s">
        <v>49</v>
      </c>
      <c r="E63" t="s">
        <v>25</v>
      </c>
      <c r="F63">
        <v>16301</v>
      </c>
      <c r="G63">
        <v>2261</v>
      </c>
      <c r="H63">
        <v>16.103988603988604</v>
      </c>
      <c r="I63">
        <v>21648</v>
      </c>
      <c r="J63">
        <v>10.61</v>
      </c>
      <c r="K63">
        <v>117</v>
      </c>
      <c r="L63">
        <v>-34.150000000000006</v>
      </c>
      <c r="M63">
        <v>-22.593450215018191</v>
      </c>
      <c r="N63">
        <v>43622.9</v>
      </c>
      <c r="O63">
        <v>45500</v>
      </c>
      <c r="P63" t="s">
        <v>49</v>
      </c>
      <c r="Q63" t="s">
        <v>25</v>
      </c>
      <c r="R63">
        <v>290</v>
      </c>
      <c r="S63">
        <v>3</v>
      </c>
      <c r="T63">
        <v>1.0452961672473868</v>
      </c>
      <c r="U63">
        <v>58</v>
      </c>
      <c r="V63">
        <v>15.8</v>
      </c>
      <c r="W63">
        <v>1771</v>
      </c>
      <c r="X63">
        <v>100.09999999999992</v>
      </c>
      <c r="Y63">
        <v>5.9907834101382429</v>
      </c>
      <c r="Z63">
        <v>43622.9</v>
      </c>
    </row>
    <row r="64" spans="1:26" x14ac:dyDescent="0.25">
      <c r="A64">
        <v>45600</v>
      </c>
      <c r="B64" t="s">
        <v>49</v>
      </c>
      <c r="C64">
        <v>45600</v>
      </c>
      <c r="D64" t="s">
        <v>49</v>
      </c>
      <c r="E64" t="s">
        <v>25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43622.9</v>
      </c>
      <c r="O64">
        <v>45600</v>
      </c>
      <c r="P64" t="s">
        <v>49</v>
      </c>
      <c r="Q64" t="s">
        <v>25</v>
      </c>
      <c r="R64">
        <v>7</v>
      </c>
      <c r="S64">
        <v>1</v>
      </c>
      <c r="T64">
        <v>16.666666666666668</v>
      </c>
      <c r="U64">
        <v>1</v>
      </c>
      <c r="V64">
        <v>13.84</v>
      </c>
      <c r="W64">
        <v>1768.35</v>
      </c>
      <c r="X64">
        <v>92.349999999999923</v>
      </c>
      <c r="Y64">
        <v>5.5101431980906872</v>
      </c>
      <c r="Z64">
        <v>43622.9</v>
      </c>
    </row>
    <row r="65" spans="1:26" x14ac:dyDescent="0.25">
      <c r="A65">
        <v>45700</v>
      </c>
      <c r="B65" t="s">
        <v>49</v>
      </c>
      <c r="C65">
        <v>45700</v>
      </c>
      <c r="D65" t="s">
        <v>49</v>
      </c>
      <c r="E65" t="s">
        <v>25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43622.9</v>
      </c>
      <c r="O65">
        <v>45700</v>
      </c>
      <c r="P65" t="s">
        <v>49</v>
      </c>
      <c r="Q65" t="s">
        <v>25</v>
      </c>
      <c r="R65">
        <v>13</v>
      </c>
      <c r="S65">
        <v>0</v>
      </c>
      <c r="T65">
        <v>0</v>
      </c>
      <c r="U65">
        <v>0</v>
      </c>
      <c r="V65">
        <v>0</v>
      </c>
      <c r="W65">
        <v>1772.75</v>
      </c>
      <c r="X65">
        <v>0</v>
      </c>
      <c r="Y65">
        <v>0</v>
      </c>
      <c r="Z65">
        <v>43622.9</v>
      </c>
    </row>
    <row r="66" spans="1:26" x14ac:dyDescent="0.25">
      <c r="A66">
        <v>45800</v>
      </c>
      <c r="B66" t="s">
        <v>49</v>
      </c>
      <c r="C66">
        <v>45800</v>
      </c>
      <c r="D66" t="s">
        <v>49</v>
      </c>
      <c r="E66" t="s">
        <v>25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43622.9</v>
      </c>
      <c r="O66">
        <v>45800</v>
      </c>
      <c r="P66" t="s">
        <v>49</v>
      </c>
      <c r="Q66" t="s">
        <v>25</v>
      </c>
      <c r="R66">
        <v>6</v>
      </c>
      <c r="S66">
        <v>0</v>
      </c>
      <c r="T66">
        <v>0</v>
      </c>
      <c r="U66">
        <v>0</v>
      </c>
      <c r="V66">
        <v>0</v>
      </c>
      <c r="W66">
        <v>1700.05</v>
      </c>
      <c r="X66">
        <v>0</v>
      </c>
      <c r="Y66">
        <v>0</v>
      </c>
      <c r="Z66">
        <v>43622.9</v>
      </c>
    </row>
    <row r="67" spans="1:26" x14ac:dyDescent="0.25">
      <c r="A67">
        <v>45900</v>
      </c>
      <c r="B67" t="s">
        <v>49</v>
      </c>
      <c r="C67">
        <v>45900</v>
      </c>
      <c r="D67" t="s">
        <v>49</v>
      </c>
      <c r="E67" t="s">
        <v>25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43622.9</v>
      </c>
      <c r="O67">
        <v>45900</v>
      </c>
      <c r="P67" t="s">
        <v>49</v>
      </c>
      <c r="Q67" t="s">
        <v>25</v>
      </c>
      <c r="R67">
        <v>3</v>
      </c>
      <c r="S67">
        <v>0</v>
      </c>
      <c r="T67">
        <v>0</v>
      </c>
      <c r="U67">
        <v>0</v>
      </c>
      <c r="V67">
        <v>0</v>
      </c>
      <c r="W67">
        <v>1817.95</v>
      </c>
      <c r="X67">
        <v>0</v>
      </c>
      <c r="Y67">
        <v>0</v>
      </c>
      <c r="Z67">
        <v>43622.9</v>
      </c>
    </row>
    <row r="68" spans="1:26" x14ac:dyDescent="0.25">
      <c r="A68">
        <v>46000</v>
      </c>
      <c r="B68" t="s">
        <v>49</v>
      </c>
      <c r="C68">
        <v>46000</v>
      </c>
      <c r="D68" t="s">
        <v>49</v>
      </c>
      <c r="E68" t="s">
        <v>25</v>
      </c>
      <c r="F68">
        <v>18126</v>
      </c>
      <c r="G68">
        <v>1406</v>
      </c>
      <c r="H68">
        <v>8.4090909090909083</v>
      </c>
      <c r="I68">
        <v>20533</v>
      </c>
      <c r="J68">
        <v>10.8</v>
      </c>
      <c r="K68">
        <v>63.55</v>
      </c>
      <c r="L68">
        <v>-14.950000000000005</v>
      </c>
      <c r="M68">
        <v>-19.044585987261151</v>
      </c>
      <c r="N68">
        <v>43622.9</v>
      </c>
      <c r="O68">
        <v>46000</v>
      </c>
      <c r="P68" t="s">
        <v>49</v>
      </c>
      <c r="Q68" t="s">
        <v>25</v>
      </c>
      <c r="R68">
        <v>794</v>
      </c>
      <c r="S68">
        <v>14</v>
      </c>
      <c r="T68">
        <v>1.7948717948717949</v>
      </c>
      <c r="U68">
        <v>169</v>
      </c>
      <c r="V68">
        <v>17.18</v>
      </c>
      <c r="W68">
        <v>2214.9499999999998</v>
      </c>
      <c r="X68">
        <v>130.79999999999973</v>
      </c>
      <c r="Y68">
        <v>6.2759398315860055</v>
      </c>
      <c r="Z68">
        <v>43622.9</v>
      </c>
    </row>
    <row r="69" spans="1:26" x14ac:dyDescent="0.25">
      <c r="A69">
        <v>46100</v>
      </c>
      <c r="B69" t="s">
        <v>49</v>
      </c>
      <c r="C69">
        <v>46100</v>
      </c>
      <c r="D69" t="s">
        <v>49</v>
      </c>
      <c r="E69" t="s">
        <v>25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43622.9</v>
      </c>
      <c r="O69">
        <v>46100</v>
      </c>
      <c r="P69" t="s">
        <v>49</v>
      </c>
      <c r="Q69" t="s">
        <v>25</v>
      </c>
      <c r="R69">
        <v>6</v>
      </c>
      <c r="S69">
        <v>0</v>
      </c>
      <c r="T69">
        <v>0</v>
      </c>
      <c r="U69">
        <v>0</v>
      </c>
      <c r="V69">
        <v>0</v>
      </c>
      <c r="W69">
        <v>2139</v>
      </c>
      <c r="X69">
        <v>0</v>
      </c>
      <c r="Y69">
        <v>0</v>
      </c>
      <c r="Z69">
        <v>43622.9</v>
      </c>
    </row>
    <row r="70" spans="1:26" x14ac:dyDescent="0.25">
      <c r="A70">
        <v>46200</v>
      </c>
      <c r="B70" t="s">
        <v>49</v>
      </c>
      <c r="C70">
        <v>46200</v>
      </c>
      <c r="D70" t="s">
        <v>49</v>
      </c>
      <c r="E70" t="s">
        <v>25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43622.9</v>
      </c>
      <c r="O70">
        <v>46200</v>
      </c>
      <c r="P70" t="s">
        <v>49</v>
      </c>
      <c r="Q70" t="s">
        <v>25</v>
      </c>
      <c r="R70">
        <v>7</v>
      </c>
      <c r="S70">
        <v>0</v>
      </c>
      <c r="T70">
        <v>0</v>
      </c>
      <c r="U70">
        <v>0</v>
      </c>
      <c r="V70">
        <v>0</v>
      </c>
      <c r="W70">
        <v>2119.35</v>
      </c>
      <c r="X70">
        <v>0</v>
      </c>
      <c r="Y70">
        <v>0</v>
      </c>
      <c r="Z70">
        <v>43622.9</v>
      </c>
    </row>
    <row r="71" spans="1:26" x14ac:dyDescent="0.25">
      <c r="A71">
        <v>46300</v>
      </c>
      <c r="B71" t="s">
        <v>49</v>
      </c>
      <c r="C71">
        <v>46300</v>
      </c>
      <c r="D71" t="s">
        <v>49</v>
      </c>
      <c r="E71" t="s">
        <v>25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43622.9</v>
      </c>
      <c r="O71">
        <v>46300</v>
      </c>
      <c r="P71" t="s">
        <v>49</v>
      </c>
      <c r="Q71" t="s">
        <v>25</v>
      </c>
      <c r="R71">
        <v>5</v>
      </c>
      <c r="S71">
        <v>0</v>
      </c>
      <c r="T71">
        <v>0</v>
      </c>
      <c r="U71">
        <v>0</v>
      </c>
      <c r="V71">
        <v>0</v>
      </c>
      <c r="W71">
        <v>2200.5</v>
      </c>
      <c r="X71">
        <v>0</v>
      </c>
      <c r="Y71">
        <v>0</v>
      </c>
      <c r="Z71">
        <v>43622.9</v>
      </c>
    </row>
    <row r="72" spans="1:26" x14ac:dyDescent="0.25">
      <c r="A72">
        <v>46400</v>
      </c>
      <c r="B72" t="s">
        <v>49</v>
      </c>
      <c r="C72">
        <v>46400</v>
      </c>
      <c r="D72" t="s">
        <v>49</v>
      </c>
      <c r="E72" t="s">
        <v>25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43622.9</v>
      </c>
      <c r="O72">
        <v>46400</v>
      </c>
      <c r="P72" t="s">
        <v>49</v>
      </c>
      <c r="Q72" t="s">
        <v>25</v>
      </c>
      <c r="R72">
        <v>6</v>
      </c>
      <c r="S72">
        <v>0</v>
      </c>
      <c r="T72">
        <v>0</v>
      </c>
      <c r="U72">
        <v>0</v>
      </c>
      <c r="V72">
        <v>0</v>
      </c>
      <c r="W72">
        <v>2326</v>
      </c>
      <c r="X72">
        <v>0</v>
      </c>
      <c r="Y72">
        <v>0</v>
      </c>
      <c r="Z72">
        <v>43622.9</v>
      </c>
    </row>
    <row r="73" spans="1:26" x14ac:dyDescent="0.25">
      <c r="A73">
        <v>46500</v>
      </c>
      <c r="B73" t="s">
        <v>49</v>
      </c>
      <c r="C73">
        <v>46500</v>
      </c>
      <c r="D73" t="s">
        <v>49</v>
      </c>
      <c r="E73" t="s">
        <v>25</v>
      </c>
      <c r="F73">
        <v>5918</v>
      </c>
      <c r="G73">
        <v>-1295</v>
      </c>
      <c r="H73">
        <v>-17.953694717870512</v>
      </c>
      <c r="I73">
        <v>10000</v>
      </c>
      <c r="J73">
        <v>11.31</v>
      </c>
      <c r="K73">
        <v>37</v>
      </c>
      <c r="L73">
        <v>-7.1000000000000014</v>
      </c>
      <c r="M73">
        <v>-16.099773242630388</v>
      </c>
      <c r="N73">
        <v>43622.9</v>
      </c>
      <c r="O73">
        <v>46500</v>
      </c>
      <c r="P73" t="s">
        <v>49</v>
      </c>
      <c r="Q73" t="s">
        <v>25</v>
      </c>
      <c r="R73">
        <v>102</v>
      </c>
      <c r="S73">
        <v>7</v>
      </c>
      <c r="T73">
        <v>7.3684210526315788</v>
      </c>
      <c r="U73">
        <v>18</v>
      </c>
      <c r="V73">
        <v>18.21</v>
      </c>
      <c r="W73">
        <v>2661</v>
      </c>
      <c r="X73">
        <v>110.09999999999992</v>
      </c>
      <c r="Y73">
        <v>4.3161237210396299</v>
      </c>
      <c r="Z73">
        <v>43622.9</v>
      </c>
    </row>
    <row r="74" spans="1:26" x14ac:dyDescent="0.25">
      <c r="A74">
        <v>46600</v>
      </c>
      <c r="B74" t="s">
        <v>49</v>
      </c>
      <c r="C74">
        <v>46600</v>
      </c>
      <c r="D74" t="s">
        <v>49</v>
      </c>
      <c r="E74" t="s">
        <v>25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43622.9</v>
      </c>
      <c r="O74">
        <v>46600</v>
      </c>
      <c r="P74" t="s">
        <v>49</v>
      </c>
      <c r="Q74" t="s">
        <v>25</v>
      </c>
      <c r="R74">
        <v>13</v>
      </c>
      <c r="S74">
        <v>0</v>
      </c>
      <c r="T74">
        <v>0</v>
      </c>
      <c r="U74">
        <v>0</v>
      </c>
      <c r="V74">
        <v>0</v>
      </c>
      <c r="W74">
        <v>2397.1</v>
      </c>
      <c r="X74">
        <v>0</v>
      </c>
      <c r="Y74">
        <v>0</v>
      </c>
      <c r="Z74">
        <v>43622.9</v>
      </c>
    </row>
    <row r="75" spans="1:26" x14ac:dyDescent="0.25">
      <c r="A75">
        <v>46700</v>
      </c>
      <c r="B75" t="s">
        <v>49</v>
      </c>
      <c r="C75">
        <v>46700</v>
      </c>
      <c r="D75" t="s">
        <v>49</v>
      </c>
      <c r="E75" t="s">
        <v>25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43622.9</v>
      </c>
      <c r="O75">
        <v>46700</v>
      </c>
      <c r="P75" t="s">
        <v>49</v>
      </c>
      <c r="Q75" t="s">
        <v>25</v>
      </c>
      <c r="R75">
        <v>3</v>
      </c>
      <c r="S75">
        <v>0</v>
      </c>
      <c r="T75">
        <v>0</v>
      </c>
      <c r="U75">
        <v>0</v>
      </c>
      <c r="V75">
        <v>0</v>
      </c>
      <c r="W75">
        <v>2405.8000000000002</v>
      </c>
      <c r="X75">
        <v>0</v>
      </c>
      <c r="Y75">
        <v>0</v>
      </c>
      <c r="Z75">
        <v>43622.9</v>
      </c>
    </row>
    <row r="76" spans="1:26" x14ac:dyDescent="0.25">
      <c r="A76">
        <v>46800</v>
      </c>
      <c r="B76" t="s">
        <v>49</v>
      </c>
      <c r="C76">
        <v>46800</v>
      </c>
      <c r="D76" t="s">
        <v>49</v>
      </c>
      <c r="E76" t="s">
        <v>25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43622.9</v>
      </c>
      <c r="O76">
        <v>46800</v>
      </c>
      <c r="P76" t="s">
        <v>49</v>
      </c>
      <c r="Q76" t="s">
        <v>25</v>
      </c>
      <c r="R76">
        <v>2</v>
      </c>
      <c r="S76">
        <v>0</v>
      </c>
      <c r="T76">
        <v>0</v>
      </c>
      <c r="U76">
        <v>0</v>
      </c>
      <c r="V76">
        <v>0</v>
      </c>
      <c r="W76">
        <v>2535</v>
      </c>
      <c r="X76">
        <v>0</v>
      </c>
      <c r="Y76">
        <v>0</v>
      </c>
      <c r="Z76">
        <v>43622.9</v>
      </c>
    </row>
    <row r="77" spans="1:26" x14ac:dyDescent="0.25">
      <c r="A77">
        <v>46900</v>
      </c>
      <c r="B77" t="s">
        <v>49</v>
      </c>
      <c r="C77">
        <v>46900</v>
      </c>
      <c r="D77" t="s">
        <v>49</v>
      </c>
      <c r="E77" t="s">
        <v>25</v>
      </c>
      <c r="F77">
        <v>2</v>
      </c>
      <c r="G77">
        <v>2</v>
      </c>
      <c r="H77">
        <v>0</v>
      </c>
      <c r="I77">
        <v>2</v>
      </c>
      <c r="J77">
        <v>18.29</v>
      </c>
      <c r="K77">
        <v>162.19999999999999</v>
      </c>
      <c r="L77">
        <v>-753.65000000000009</v>
      </c>
      <c r="M77">
        <v>-82.289676257029001</v>
      </c>
      <c r="N77">
        <v>43622.9</v>
      </c>
      <c r="O77">
        <v>46900</v>
      </c>
      <c r="P77" t="s">
        <v>49</v>
      </c>
      <c r="Q77" t="s">
        <v>25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43622.9</v>
      </c>
    </row>
    <row r="78" spans="1:26" x14ac:dyDescent="0.25">
      <c r="A78">
        <v>47000</v>
      </c>
      <c r="B78" t="s">
        <v>49</v>
      </c>
      <c r="C78">
        <v>47000</v>
      </c>
      <c r="D78" t="s">
        <v>49</v>
      </c>
      <c r="E78" t="s">
        <v>25</v>
      </c>
      <c r="F78">
        <v>8728</v>
      </c>
      <c r="G78">
        <v>-14</v>
      </c>
      <c r="H78">
        <v>-0.1601464195836193</v>
      </c>
      <c r="I78">
        <v>15025</v>
      </c>
      <c r="J78">
        <v>12.03</v>
      </c>
      <c r="K78">
        <v>25</v>
      </c>
      <c r="L78">
        <v>-3.3999999999999986</v>
      </c>
      <c r="M78">
        <v>-11.971830985915489</v>
      </c>
      <c r="N78">
        <v>43622.9</v>
      </c>
      <c r="O78">
        <v>47000</v>
      </c>
      <c r="P78" t="s">
        <v>49</v>
      </c>
      <c r="Q78" t="s">
        <v>25</v>
      </c>
      <c r="R78">
        <v>1200</v>
      </c>
      <c r="S78">
        <v>682</v>
      </c>
      <c r="T78">
        <v>131.66023166023166</v>
      </c>
      <c r="U78">
        <v>790</v>
      </c>
      <c r="V78">
        <v>19.940000000000001</v>
      </c>
      <c r="W78">
        <v>3140</v>
      </c>
      <c r="X78">
        <v>86.5</v>
      </c>
      <c r="Y78">
        <v>2.8328148026854429</v>
      </c>
      <c r="Z78">
        <v>43622.9</v>
      </c>
    </row>
    <row r="79" spans="1:26" x14ac:dyDescent="0.25">
      <c r="A79">
        <v>47500</v>
      </c>
      <c r="B79" t="s">
        <v>49</v>
      </c>
      <c r="C79">
        <v>47500</v>
      </c>
      <c r="D79" t="s">
        <v>49</v>
      </c>
      <c r="E79" t="s">
        <v>25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43622.9</v>
      </c>
      <c r="O79">
        <v>47500</v>
      </c>
      <c r="P79" t="s">
        <v>49</v>
      </c>
      <c r="Q79" t="s">
        <v>25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43622.9</v>
      </c>
    </row>
    <row r="80" spans="1:26" x14ac:dyDescent="0.25">
      <c r="A80">
        <v>48000</v>
      </c>
      <c r="B80" t="s">
        <v>49</v>
      </c>
      <c r="C80">
        <v>48000</v>
      </c>
      <c r="D80" t="s">
        <v>49</v>
      </c>
      <c r="E80" t="s">
        <v>25</v>
      </c>
      <c r="F80">
        <v>1644</v>
      </c>
      <c r="G80">
        <v>1090</v>
      </c>
      <c r="H80">
        <v>196.75090252707585</v>
      </c>
      <c r="I80">
        <v>2407</v>
      </c>
      <c r="J80">
        <v>14.34</v>
      </c>
      <c r="K80">
        <v>18.2</v>
      </c>
      <c r="L80">
        <v>0.30000000000000071</v>
      </c>
      <c r="M80">
        <v>1.6759776536312891</v>
      </c>
      <c r="N80">
        <v>43622.9</v>
      </c>
      <c r="O80">
        <v>48000</v>
      </c>
      <c r="P80" t="s">
        <v>49</v>
      </c>
      <c r="Q80" t="s">
        <v>25</v>
      </c>
      <c r="R80">
        <v>93</v>
      </c>
      <c r="S80">
        <v>11</v>
      </c>
      <c r="T80">
        <v>13.414634146341465</v>
      </c>
      <c r="U80">
        <v>34</v>
      </c>
      <c r="V80">
        <v>23.21</v>
      </c>
      <c r="W80">
        <v>4106.2</v>
      </c>
      <c r="X80">
        <v>136.19999999999982</v>
      </c>
      <c r="Y80">
        <v>3.4307304785894157</v>
      </c>
      <c r="Z80">
        <v>43622.9</v>
      </c>
    </row>
    <row r="81" spans="1:26" x14ac:dyDescent="0.25">
      <c r="A81">
        <v>48500</v>
      </c>
      <c r="B81" t="s">
        <v>49</v>
      </c>
      <c r="C81">
        <v>48500</v>
      </c>
      <c r="D81" t="s">
        <v>49</v>
      </c>
      <c r="E81" t="s">
        <v>25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43622.9</v>
      </c>
      <c r="O81">
        <v>48500</v>
      </c>
      <c r="P81" t="s">
        <v>49</v>
      </c>
      <c r="Q81" t="s">
        <v>25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43622.9</v>
      </c>
    </row>
    <row r="82" spans="1:26" x14ac:dyDescent="0.25">
      <c r="A82">
        <v>49000</v>
      </c>
      <c r="B82" t="s">
        <v>49</v>
      </c>
      <c r="C82">
        <v>49000</v>
      </c>
      <c r="D82" t="s">
        <v>49</v>
      </c>
      <c r="E82" t="s">
        <v>25</v>
      </c>
      <c r="F82">
        <v>29</v>
      </c>
      <c r="G82">
        <v>18</v>
      </c>
      <c r="H82">
        <v>163.63636363636363</v>
      </c>
      <c r="I82">
        <v>66</v>
      </c>
      <c r="J82">
        <v>16.440000000000001</v>
      </c>
      <c r="K82">
        <v>14.95</v>
      </c>
      <c r="L82">
        <v>3.8999999999999986</v>
      </c>
      <c r="M82">
        <v>35.294117647058812</v>
      </c>
      <c r="N82">
        <v>43622.9</v>
      </c>
      <c r="O82">
        <v>49000</v>
      </c>
      <c r="P82" t="s">
        <v>49</v>
      </c>
      <c r="Q82" t="s">
        <v>25</v>
      </c>
      <c r="R82">
        <v>3</v>
      </c>
      <c r="S82">
        <v>2</v>
      </c>
      <c r="T82">
        <v>200</v>
      </c>
      <c r="U82">
        <v>6</v>
      </c>
      <c r="V82">
        <v>26.85</v>
      </c>
      <c r="W82">
        <v>5092.6000000000004</v>
      </c>
      <c r="X82">
        <v>142.60000000000036</v>
      </c>
      <c r="Y82">
        <v>2.8808080808080883</v>
      </c>
      <c r="Z82">
        <v>43622.9</v>
      </c>
    </row>
    <row r="83" spans="1:26" x14ac:dyDescent="0.25">
      <c r="A83">
        <v>49500</v>
      </c>
      <c r="B83" t="s">
        <v>49</v>
      </c>
      <c r="C83">
        <v>49500</v>
      </c>
      <c r="D83" t="s">
        <v>49</v>
      </c>
      <c r="E83" t="s">
        <v>25</v>
      </c>
      <c r="F83">
        <v>248</v>
      </c>
      <c r="G83">
        <v>16</v>
      </c>
      <c r="H83">
        <v>6.8965517241379306</v>
      </c>
      <c r="I83">
        <v>119</v>
      </c>
      <c r="J83">
        <v>17.75</v>
      </c>
      <c r="K83">
        <v>14.5</v>
      </c>
      <c r="L83">
        <v>-0.90000000000000036</v>
      </c>
      <c r="M83">
        <v>-5.8441558441558463</v>
      </c>
      <c r="N83">
        <v>43622.9</v>
      </c>
      <c r="O83">
        <v>49500</v>
      </c>
      <c r="P83" t="s">
        <v>49</v>
      </c>
      <c r="Q83" t="s">
        <v>25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43622.9</v>
      </c>
    </row>
    <row r="84" spans="1:26" x14ac:dyDescent="0.25">
      <c r="A84">
        <v>50000</v>
      </c>
      <c r="B84" t="s">
        <v>49</v>
      </c>
      <c r="C84">
        <v>50000</v>
      </c>
      <c r="D84" t="s">
        <v>49</v>
      </c>
      <c r="E84" t="s">
        <v>25</v>
      </c>
      <c r="F84">
        <v>2228</v>
      </c>
      <c r="G84">
        <v>281</v>
      </c>
      <c r="H84">
        <v>14.432460195172061</v>
      </c>
      <c r="I84">
        <v>1347</v>
      </c>
      <c r="J84">
        <v>19.16</v>
      </c>
      <c r="K84">
        <v>14.3</v>
      </c>
      <c r="L84">
        <v>0.15000000000000036</v>
      </c>
      <c r="M84">
        <v>1.0600706713780943</v>
      </c>
      <c r="N84">
        <v>43622.9</v>
      </c>
      <c r="O84">
        <v>50000</v>
      </c>
      <c r="P84" t="s">
        <v>49</v>
      </c>
      <c r="Q84" t="s">
        <v>25</v>
      </c>
      <c r="R84">
        <v>308</v>
      </c>
      <c r="S84">
        <v>53</v>
      </c>
      <c r="T84">
        <v>20.784313725490197</v>
      </c>
      <c r="U84">
        <v>73</v>
      </c>
      <c r="V84">
        <v>30.05</v>
      </c>
      <c r="W84">
        <v>6074.5</v>
      </c>
      <c r="X84">
        <v>138.60000000000036</v>
      </c>
      <c r="Y84">
        <v>2.3349449957041117</v>
      </c>
      <c r="Z84">
        <v>43622.9</v>
      </c>
    </row>
    <row r="85" spans="1:26" x14ac:dyDescent="0.25">
      <c r="A85">
        <v>50500</v>
      </c>
      <c r="B85" t="s">
        <v>49</v>
      </c>
      <c r="C85">
        <v>50500</v>
      </c>
      <c r="D85" t="s">
        <v>49</v>
      </c>
      <c r="E85" t="s">
        <v>25</v>
      </c>
      <c r="F85">
        <v>150</v>
      </c>
      <c r="G85">
        <v>9</v>
      </c>
      <c r="H85">
        <v>6.3829787234042552</v>
      </c>
      <c r="I85">
        <v>179</v>
      </c>
      <c r="J85">
        <v>20.079999999999998</v>
      </c>
      <c r="K85">
        <v>12.6</v>
      </c>
      <c r="L85">
        <v>-1.3499999999999996</v>
      </c>
      <c r="M85">
        <v>-9.6774193548387082</v>
      </c>
      <c r="N85">
        <v>43622.9</v>
      </c>
      <c r="O85">
        <v>50500</v>
      </c>
      <c r="P85" t="s">
        <v>49</v>
      </c>
      <c r="Q85" t="s">
        <v>25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43622.9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AA116"/>
  <sheetViews>
    <sheetView workbookViewId="0">
      <selection activeCell="B3" sqref="B3:AA116"/>
    </sheetView>
  </sheetViews>
  <sheetFormatPr defaultRowHeight="15" x14ac:dyDescent="0.25"/>
  <cols>
    <col min="1" max="2" width="12.7109375" bestFit="1" customWidth="1"/>
    <col min="3" max="3" width="13" bestFit="1" customWidth="1"/>
    <col min="4" max="4" width="16.7109375" bestFit="1" customWidth="1"/>
    <col min="5" max="5" width="17" bestFit="1" customWidth="1"/>
    <col min="6" max="6" width="16.85546875" bestFit="1" customWidth="1"/>
    <col min="7" max="7" width="18.85546875" bestFit="1" customWidth="1"/>
    <col min="8" max="8" width="27.42578125" bestFit="1" customWidth="1"/>
    <col min="9" max="9" width="28.7109375" bestFit="1" customWidth="1"/>
    <col min="10" max="10" width="24.85546875" bestFit="1" customWidth="1"/>
    <col min="11" max="11" width="22.42578125" bestFit="1" customWidth="1"/>
    <col min="12" max="12" width="14.7109375" bestFit="1" customWidth="1"/>
    <col min="13" max="13" width="13.42578125" bestFit="1" customWidth="1"/>
    <col min="14" max="14" width="14.85546875" bestFit="1" customWidth="1"/>
    <col min="15" max="15" width="22.140625" bestFit="1" customWidth="1"/>
    <col min="16" max="16" width="16.42578125" bestFit="1" customWidth="1"/>
    <col min="17" max="17" width="16.7109375" bestFit="1" customWidth="1"/>
    <col min="18" max="18" width="16.5703125" bestFit="1" customWidth="1"/>
    <col min="19" max="19" width="18.5703125" bestFit="1" customWidth="1"/>
    <col min="20" max="20" width="27.140625" bestFit="1" customWidth="1"/>
    <col min="21" max="21" width="28.42578125" bestFit="1" customWidth="1"/>
    <col min="22" max="22" width="24.5703125" bestFit="1" customWidth="1"/>
    <col min="23" max="23" width="22.140625" bestFit="1" customWidth="1"/>
    <col min="24" max="24" width="14.42578125" bestFit="1" customWidth="1"/>
    <col min="25" max="25" width="13.140625" bestFit="1" customWidth="1"/>
    <col min="26" max="26" width="14.5703125" bestFit="1" customWidth="1"/>
    <col min="27" max="27" width="21.85546875" bestFit="1" customWidth="1"/>
  </cols>
  <sheetData>
    <row r="3" spans="2:27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39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40</v>
      </c>
      <c r="V3" t="s">
        <v>18</v>
      </c>
      <c r="W3" t="s">
        <v>19</v>
      </c>
      <c r="X3" t="s">
        <v>20</v>
      </c>
      <c r="Y3" t="s">
        <v>21</v>
      </c>
      <c r="Z3" t="s">
        <v>22</v>
      </c>
      <c r="AA3" t="s">
        <v>23</v>
      </c>
    </row>
    <row r="4" spans="2:27" x14ac:dyDescent="0.25">
      <c r="B4">
        <v>10000</v>
      </c>
      <c r="C4" t="s">
        <v>50</v>
      </c>
      <c r="P4">
        <v>10000</v>
      </c>
      <c r="Q4" t="s">
        <v>50</v>
      </c>
      <c r="R4" t="s">
        <v>24</v>
      </c>
      <c r="S4">
        <v>6737</v>
      </c>
      <c r="T4">
        <v>4933</v>
      </c>
      <c r="U4">
        <v>273.44789356984478</v>
      </c>
      <c r="V4">
        <v>80222</v>
      </c>
      <c r="W4">
        <v>151.47</v>
      </c>
      <c r="X4">
        <v>0.4</v>
      </c>
      <c r="Y4">
        <v>-0.19999999999999996</v>
      </c>
      <c r="Z4">
        <v>-33.333333333333329</v>
      </c>
      <c r="AA4">
        <v>18665.5</v>
      </c>
    </row>
    <row r="5" spans="2:27" x14ac:dyDescent="0.25">
      <c r="B5">
        <v>10500</v>
      </c>
      <c r="C5" t="s">
        <v>50</v>
      </c>
      <c r="P5">
        <v>10500</v>
      </c>
      <c r="Q5" t="s">
        <v>50</v>
      </c>
      <c r="R5" t="s">
        <v>24</v>
      </c>
      <c r="S5">
        <v>3036.5</v>
      </c>
      <c r="T5">
        <v>13</v>
      </c>
      <c r="U5">
        <v>0.42996527203572021</v>
      </c>
      <c r="V5">
        <v>111</v>
      </c>
      <c r="W5">
        <v>137.6</v>
      </c>
      <c r="X5">
        <v>0.35</v>
      </c>
      <c r="Y5">
        <v>0</v>
      </c>
      <c r="Z5">
        <v>0</v>
      </c>
      <c r="AA5">
        <v>18665.5</v>
      </c>
    </row>
    <row r="6" spans="2:27" x14ac:dyDescent="0.25">
      <c r="B6">
        <v>11000</v>
      </c>
      <c r="C6" t="s">
        <v>50</v>
      </c>
      <c r="D6">
        <v>11000</v>
      </c>
      <c r="E6" t="s">
        <v>50</v>
      </c>
      <c r="F6" t="s">
        <v>24</v>
      </c>
      <c r="G6">
        <v>664.5</v>
      </c>
      <c r="H6">
        <v>-1</v>
      </c>
      <c r="I6">
        <v>-0.15026296018031554</v>
      </c>
      <c r="J6">
        <v>17</v>
      </c>
      <c r="K6">
        <v>173.86</v>
      </c>
      <c r="L6">
        <v>7692.75</v>
      </c>
      <c r="M6">
        <v>-130.10000000000036</v>
      </c>
      <c r="N6">
        <v>-1.66307675591377</v>
      </c>
      <c r="O6">
        <v>18665.5</v>
      </c>
      <c r="P6">
        <v>11000</v>
      </c>
      <c r="Q6" t="s">
        <v>50</v>
      </c>
      <c r="R6" t="s">
        <v>24</v>
      </c>
      <c r="S6">
        <v>7559</v>
      </c>
      <c r="T6">
        <v>880</v>
      </c>
      <c r="U6">
        <v>13.175625093576883</v>
      </c>
      <c r="V6">
        <v>23335</v>
      </c>
      <c r="W6">
        <v>127.08</v>
      </c>
      <c r="X6">
        <v>0.4</v>
      </c>
      <c r="Y6">
        <v>-4.9999999999999989E-2</v>
      </c>
      <c r="Z6">
        <v>-11.111111111111107</v>
      </c>
      <c r="AA6">
        <v>18665.5</v>
      </c>
    </row>
    <row r="7" spans="2:27" x14ac:dyDescent="0.25">
      <c r="B7">
        <v>11500</v>
      </c>
      <c r="C7" t="s">
        <v>50</v>
      </c>
      <c r="P7">
        <v>11500</v>
      </c>
      <c r="Q7" t="s">
        <v>50</v>
      </c>
      <c r="R7" t="s">
        <v>24</v>
      </c>
      <c r="S7">
        <v>10</v>
      </c>
      <c r="T7">
        <v>-5</v>
      </c>
      <c r="U7">
        <v>-33.333333333333336</v>
      </c>
      <c r="V7">
        <v>68</v>
      </c>
      <c r="W7">
        <v>117.01</v>
      </c>
      <c r="X7">
        <v>0.35</v>
      </c>
      <c r="Y7">
        <v>4.9999999999999989E-2</v>
      </c>
      <c r="Z7">
        <v>16.666666666666664</v>
      </c>
      <c r="AA7">
        <v>18665.5</v>
      </c>
    </row>
    <row r="8" spans="2:27" x14ac:dyDescent="0.25">
      <c r="B8">
        <v>11900</v>
      </c>
      <c r="C8" t="s">
        <v>50</v>
      </c>
      <c r="P8">
        <v>11900</v>
      </c>
      <c r="Q8" t="s">
        <v>50</v>
      </c>
      <c r="R8" t="s">
        <v>24</v>
      </c>
      <c r="S8">
        <v>305</v>
      </c>
      <c r="T8">
        <v>260</v>
      </c>
      <c r="U8">
        <v>577.77777777777783</v>
      </c>
      <c r="V8">
        <v>608</v>
      </c>
      <c r="W8">
        <v>106.51</v>
      </c>
      <c r="X8">
        <v>0.25</v>
      </c>
      <c r="Y8">
        <v>0.1</v>
      </c>
      <c r="Z8">
        <v>66.666666666666671</v>
      </c>
      <c r="AA8">
        <v>18665.5</v>
      </c>
    </row>
    <row r="9" spans="2:27" x14ac:dyDescent="0.25">
      <c r="B9">
        <v>12000</v>
      </c>
      <c r="C9" t="s">
        <v>50</v>
      </c>
      <c r="D9">
        <v>12000</v>
      </c>
      <c r="E9" t="s">
        <v>50</v>
      </c>
      <c r="F9" t="s">
        <v>24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18665.5</v>
      </c>
      <c r="P9">
        <v>12000</v>
      </c>
      <c r="Q9" t="s">
        <v>50</v>
      </c>
      <c r="R9" t="s">
        <v>24</v>
      </c>
      <c r="S9">
        <v>1512</v>
      </c>
      <c r="T9">
        <v>1135</v>
      </c>
      <c r="U9">
        <v>301.0610079575597</v>
      </c>
      <c r="V9">
        <v>18108</v>
      </c>
      <c r="W9">
        <v>108.45</v>
      </c>
      <c r="X9">
        <v>0.4</v>
      </c>
      <c r="Y9">
        <v>0</v>
      </c>
      <c r="Z9">
        <v>0</v>
      </c>
      <c r="AA9">
        <v>18665.5</v>
      </c>
    </row>
    <row r="10" spans="2:27" x14ac:dyDescent="0.25">
      <c r="B10">
        <v>12100</v>
      </c>
      <c r="C10" t="s">
        <v>50</v>
      </c>
      <c r="P10">
        <v>12100</v>
      </c>
      <c r="Q10" t="s">
        <v>50</v>
      </c>
      <c r="R10" t="s">
        <v>24</v>
      </c>
      <c r="S10">
        <v>96.5</v>
      </c>
      <c r="T10">
        <v>-33</v>
      </c>
      <c r="U10">
        <v>-25.482625482625483</v>
      </c>
      <c r="V10">
        <v>218</v>
      </c>
      <c r="W10">
        <v>111.49</v>
      </c>
      <c r="X10">
        <v>0.45</v>
      </c>
      <c r="Y10">
        <v>-0.95</v>
      </c>
      <c r="Z10">
        <v>-67.857142857142861</v>
      </c>
      <c r="AA10">
        <v>18665.5</v>
      </c>
    </row>
    <row r="11" spans="2:27" x14ac:dyDescent="0.25">
      <c r="B11">
        <v>12200</v>
      </c>
      <c r="C11" t="s">
        <v>50</v>
      </c>
      <c r="P11">
        <v>12200</v>
      </c>
      <c r="Q11" t="s">
        <v>50</v>
      </c>
      <c r="R11" t="s">
        <v>24</v>
      </c>
      <c r="S11">
        <v>43</v>
      </c>
      <c r="T11">
        <v>0</v>
      </c>
      <c r="U11">
        <v>0</v>
      </c>
      <c r="V11">
        <v>0</v>
      </c>
      <c r="W11">
        <v>0</v>
      </c>
      <c r="X11">
        <v>0.15</v>
      </c>
      <c r="Y11">
        <v>0</v>
      </c>
      <c r="Z11">
        <v>0</v>
      </c>
      <c r="AA11">
        <v>18665.5</v>
      </c>
    </row>
    <row r="12" spans="2:27" x14ac:dyDescent="0.25">
      <c r="B12">
        <v>13000</v>
      </c>
      <c r="C12" t="s">
        <v>50</v>
      </c>
      <c r="D12">
        <v>13000</v>
      </c>
      <c r="E12" t="s">
        <v>50</v>
      </c>
      <c r="F12" t="s">
        <v>24</v>
      </c>
      <c r="G12">
        <v>8619</v>
      </c>
      <c r="H12">
        <v>-532</v>
      </c>
      <c r="I12">
        <v>-5.8135722871817288</v>
      </c>
      <c r="J12">
        <v>819</v>
      </c>
      <c r="K12">
        <v>133.94999999999999</v>
      </c>
      <c r="L12">
        <v>5703.35</v>
      </c>
      <c r="M12">
        <v>-127.09999999999944</v>
      </c>
      <c r="N12">
        <v>-2.1799346534143926</v>
      </c>
      <c r="O12">
        <v>18665.5</v>
      </c>
      <c r="P12">
        <v>13000</v>
      </c>
      <c r="Q12" t="s">
        <v>50</v>
      </c>
      <c r="R12" t="s">
        <v>24</v>
      </c>
      <c r="S12">
        <v>5912</v>
      </c>
      <c r="T12">
        <v>1010</v>
      </c>
      <c r="U12">
        <v>20.603835169318646</v>
      </c>
      <c r="V12">
        <v>38470</v>
      </c>
      <c r="W12">
        <v>89.99</v>
      </c>
      <c r="X12">
        <v>0.4</v>
      </c>
      <c r="Y12">
        <v>-0.5</v>
      </c>
      <c r="Z12">
        <v>-55.555555555555557</v>
      </c>
      <c r="AA12">
        <v>18665.5</v>
      </c>
    </row>
    <row r="13" spans="2:27" x14ac:dyDescent="0.25">
      <c r="B13">
        <v>13500</v>
      </c>
      <c r="C13" t="s">
        <v>50</v>
      </c>
      <c r="D13">
        <v>13500</v>
      </c>
      <c r="E13" t="s">
        <v>50</v>
      </c>
      <c r="F13" t="s">
        <v>24</v>
      </c>
      <c r="G13">
        <v>72</v>
      </c>
      <c r="H13">
        <v>2</v>
      </c>
      <c r="I13">
        <v>2.8571428571428572</v>
      </c>
      <c r="J13">
        <v>4</v>
      </c>
      <c r="K13">
        <v>0</v>
      </c>
      <c r="L13">
        <v>5179.3999999999996</v>
      </c>
      <c r="M13">
        <v>-222.30000000000015</v>
      </c>
      <c r="N13">
        <v>-4.1153710868800601</v>
      </c>
      <c r="O13">
        <v>18665.5</v>
      </c>
      <c r="P13">
        <v>13500</v>
      </c>
      <c r="Q13" t="s">
        <v>50</v>
      </c>
      <c r="R13" t="s">
        <v>24</v>
      </c>
      <c r="S13">
        <v>1489</v>
      </c>
      <c r="T13">
        <v>1301</v>
      </c>
      <c r="U13">
        <v>692.02127659574467</v>
      </c>
      <c r="V13">
        <v>18597</v>
      </c>
      <c r="W13">
        <v>81.23</v>
      </c>
      <c r="X13">
        <v>0.4</v>
      </c>
      <c r="Y13">
        <v>-9.9999999999999978E-2</v>
      </c>
      <c r="Z13">
        <v>-19.999999999999996</v>
      </c>
      <c r="AA13">
        <v>18665.5</v>
      </c>
    </row>
    <row r="14" spans="2:27" x14ac:dyDescent="0.25">
      <c r="B14">
        <v>14000</v>
      </c>
      <c r="C14" t="s">
        <v>50</v>
      </c>
      <c r="D14">
        <v>14000</v>
      </c>
      <c r="E14" t="s">
        <v>50</v>
      </c>
      <c r="F14" t="s">
        <v>24</v>
      </c>
      <c r="G14">
        <v>1567</v>
      </c>
      <c r="H14">
        <v>-115</v>
      </c>
      <c r="I14">
        <v>-6.8370986920332939</v>
      </c>
      <c r="J14">
        <v>210</v>
      </c>
      <c r="K14">
        <v>105.83</v>
      </c>
      <c r="L14">
        <v>4701.45</v>
      </c>
      <c r="M14">
        <v>-114.69999999999982</v>
      </c>
      <c r="N14">
        <v>-2.3815703414553084</v>
      </c>
      <c r="O14">
        <v>18665.5</v>
      </c>
      <c r="P14">
        <v>14000</v>
      </c>
      <c r="Q14" t="s">
        <v>50</v>
      </c>
      <c r="R14" t="s">
        <v>24</v>
      </c>
      <c r="S14">
        <v>3678.5</v>
      </c>
      <c r="T14">
        <v>-391</v>
      </c>
      <c r="U14">
        <v>-9.6080599582258284</v>
      </c>
      <c r="V14">
        <v>16566</v>
      </c>
      <c r="W14">
        <v>74.709999999999994</v>
      </c>
      <c r="X14">
        <v>0.55000000000000004</v>
      </c>
      <c r="Y14">
        <v>-0.35</v>
      </c>
      <c r="Z14">
        <v>-38.888888888888886</v>
      </c>
      <c r="AA14">
        <v>18665.5</v>
      </c>
    </row>
    <row r="15" spans="2:27" x14ac:dyDescent="0.25">
      <c r="B15">
        <v>14500</v>
      </c>
      <c r="C15" t="s">
        <v>50</v>
      </c>
      <c r="D15">
        <v>14500</v>
      </c>
      <c r="E15" t="s">
        <v>50</v>
      </c>
      <c r="F15" t="s">
        <v>24</v>
      </c>
      <c r="G15">
        <v>47.5</v>
      </c>
      <c r="H15">
        <v>-6</v>
      </c>
      <c r="I15">
        <v>-11.214953271028037</v>
      </c>
      <c r="J15">
        <v>37</v>
      </c>
      <c r="K15">
        <v>109.78</v>
      </c>
      <c r="L15">
        <v>4221.8</v>
      </c>
      <c r="M15">
        <v>-119.80000000000018</v>
      </c>
      <c r="N15">
        <v>-2.7593513911921912</v>
      </c>
      <c r="O15">
        <v>18665.5</v>
      </c>
    </row>
    <row r="16" spans="2:27" x14ac:dyDescent="0.25">
      <c r="B16">
        <v>15000</v>
      </c>
      <c r="C16" t="s">
        <v>50</v>
      </c>
      <c r="D16">
        <v>15000</v>
      </c>
      <c r="E16" t="s">
        <v>50</v>
      </c>
      <c r="F16" t="s">
        <v>24</v>
      </c>
      <c r="G16">
        <v>8381.5</v>
      </c>
      <c r="H16">
        <v>-459</v>
      </c>
      <c r="I16">
        <v>-5.1920140263559755</v>
      </c>
      <c r="J16">
        <v>880</v>
      </c>
      <c r="K16">
        <v>79.59</v>
      </c>
      <c r="L16">
        <v>3699.5</v>
      </c>
      <c r="M16">
        <v>-121.09999999999992</v>
      </c>
      <c r="N16">
        <v>-3.1696592158299723</v>
      </c>
      <c r="O16">
        <v>18665.5</v>
      </c>
      <c r="P16">
        <v>15000</v>
      </c>
      <c r="Q16" t="s">
        <v>50</v>
      </c>
      <c r="R16" t="s">
        <v>24</v>
      </c>
      <c r="S16">
        <v>12327</v>
      </c>
      <c r="T16">
        <v>729</v>
      </c>
      <c r="U16">
        <v>6.2855664769787891</v>
      </c>
      <c r="V16">
        <v>22614</v>
      </c>
      <c r="W16">
        <v>57.59</v>
      </c>
      <c r="X16">
        <v>0.5</v>
      </c>
      <c r="Y16">
        <v>-0.30000000000000004</v>
      </c>
      <c r="Z16">
        <v>-37.500000000000007</v>
      </c>
      <c r="AA16">
        <v>18665.5</v>
      </c>
    </row>
    <row r="17" spans="2:27" x14ac:dyDescent="0.25">
      <c r="B17">
        <v>15500</v>
      </c>
      <c r="C17" t="s">
        <v>50</v>
      </c>
      <c r="D17">
        <v>15500</v>
      </c>
      <c r="E17" t="s">
        <v>50</v>
      </c>
      <c r="F17" t="s">
        <v>24</v>
      </c>
      <c r="G17">
        <v>549.5</v>
      </c>
      <c r="H17">
        <v>-195</v>
      </c>
      <c r="I17">
        <v>-26.192075218267295</v>
      </c>
      <c r="J17">
        <v>212</v>
      </c>
      <c r="K17">
        <v>44.78</v>
      </c>
      <c r="L17">
        <v>3191.1</v>
      </c>
      <c r="M17">
        <v>-155.20000000000027</v>
      </c>
      <c r="N17">
        <v>-4.6379583420494352</v>
      </c>
      <c r="O17">
        <v>18665.5</v>
      </c>
    </row>
    <row r="18" spans="2:27" x14ac:dyDescent="0.25">
      <c r="B18">
        <v>15600</v>
      </c>
      <c r="C18" t="s">
        <v>50</v>
      </c>
      <c r="D18">
        <v>15600</v>
      </c>
      <c r="E18" t="s">
        <v>50</v>
      </c>
      <c r="F18" t="s">
        <v>24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18665.5</v>
      </c>
      <c r="P18">
        <v>15600</v>
      </c>
      <c r="Q18" t="s">
        <v>50</v>
      </c>
      <c r="R18" t="s">
        <v>24</v>
      </c>
      <c r="S18">
        <v>1094</v>
      </c>
      <c r="T18">
        <v>355</v>
      </c>
      <c r="U18">
        <v>48.037889039242216</v>
      </c>
      <c r="V18">
        <v>9931</v>
      </c>
      <c r="W18">
        <v>49.58</v>
      </c>
      <c r="X18">
        <v>0.7</v>
      </c>
      <c r="Y18">
        <v>-0.25</v>
      </c>
      <c r="Z18">
        <v>-26.315789473684209</v>
      </c>
      <c r="AA18">
        <v>18665.5</v>
      </c>
    </row>
    <row r="19" spans="2:27" x14ac:dyDescent="0.25">
      <c r="B19">
        <v>15650</v>
      </c>
      <c r="C19" t="s">
        <v>50</v>
      </c>
      <c r="D19">
        <v>15650</v>
      </c>
      <c r="E19" t="s">
        <v>50</v>
      </c>
      <c r="F19" t="s">
        <v>24</v>
      </c>
      <c r="G19">
        <v>2</v>
      </c>
      <c r="H19">
        <v>0</v>
      </c>
      <c r="I19">
        <v>0</v>
      </c>
      <c r="J19">
        <v>0</v>
      </c>
      <c r="K19">
        <v>0</v>
      </c>
      <c r="L19">
        <v>3014.2</v>
      </c>
      <c r="M19">
        <v>0</v>
      </c>
      <c r="N19">
        <v>0</v>
      </c>
      <c r="O19">
        <v>18665.5</v>
      </c>
      <c r="P19">
        <v>15650</v>
      </c>
      <c r="Q19" t="s">
        <v>50</v>
      </c>
      <c r="R19" t="s">
        <v>24</v>
      </c>
      <c r="S19">
        <v>263</v>
      </c>
      <c r="T19">
        <v>158</v>
      </c>
      <c r="U19">
        <v>150.47619047619048</v>
      </c>
      <c r="V19">
        <v>3036</v>
      </c>
      <c r="W19">
        <v>48.08</v>
      </c>
      <c r="X19">
        <v>0.6</v>
      </c>
      <c r="Y19">
        <v>-0.4</v>
      </c>
      <c r="Z19">
        <v>-40</v>
      </c>
      <c r="AA19">
        <v>18665.5</v>
      </c>
    </row>
    <row r="20" spans="2:27" x14ac:dyDescent="0.25">
      <c r="B20">
        <v>15700</v>
      </c>
      <c r="C20" t="s">
        <v>50</v>
      </c>
      <c r="D20">
        <v>15700</v>
      </c>
      <c r="E20" t="s">
        <v>50</v>
      </c>
      <c r="F20" t="s">
        <v>24</v>
      </c>
      <c r="G20">
        <v>3</v>
      </c>
      <c r="H20">
        <v>0</v>
      </c>
      <c r="I20">
        <v>0</v>
      </c>
      <c r="J20">
        <v>0</v>
      </c>
      <c r="K20">
        <v>0</v>
      </c>
      <c r="L20">
        <v>3143.05</v>
      </c>
      <c r="M20">
        <v>0</v>
      </c>
      <c r="N20">
        <v>0</v>
      </c>
      <c r="O20">
        <v>18665.5</v>
      </c>
      <c r="P20">
        <v>15700</v>
      </c>
      <c r="Q20" t="s">
        <v>50</v>
      </c>
      <c r="R20" t="s">
        <v>24</v>
      </c>
      <c r="S20">
        <v>577</v>
      </c>
      <c r="T20">
        <v>-371</v>
      </c>
      <c r="U20">
        <v>-39.135021097046412</v>
      </c>
      <c r="V20">
        <v>6171</v>
      </c>
      <c r="W20">
        <v>48.29</v>
      </c>
      <c r="X20">
        <v>0.75</v>
      </c>
      <c r="Y20">
        <v>-0.30000000000000004</v>
      </c>
      <c r="Z20">
        <v>-28.571428571428577</v>
      </c>
      <c r="AA20">
        <v>18665.5</v>
      </c>
    </row>
    <row r="21" spans="2:27" x14ac:dyDescent="0.25">
      <c r="B21">
        <v>15750</v>
      </c>
      <c r="C21" t="s">
        <v>50</v>
      </c>
      <c r="D21">
        <v>15750</v>
      </c>
      <c r="E21" t="s">
        <v>50</v>
      </c>
      <c r="F21" t="s">
        <v>24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18665.5</v>
      </c>
      <c r="P21">
        <v>15750</v>
      </c>
      <c r="Q21" t="s">
        <v>50</v>
      </c>
      <c r="R21" t="s">
        <v>24</v>
      </c>
      <c r="S21">
        <v>418</v>
      </c>
      <c r="T21">
        <v>339</v>
      </c>
      <c r="U21">
        <v>429.11392405063299</v>
      </c>
      <c r="V21">
        <v>993</v>
      </c>
      <c r="W21">
        <v>46.85</v>
      </c>
      <c r="X21">
        <v>0.65</v>
      </c>
      <c r="Y21">
        <v>-9.9999999999999978E-2</v>
      </c>
      <c r="Z21">
        <v>-13.33333333333333</v>
      </c>
      <c r="AA21">
        <v>18665.5</v>
      </c>
    </row>
    <row r="22" spans="2:27" x14ac:dyDescent="0.25">
      <c r="B22">
        <v>15800</v>
      </c>
      <c r="C22" t="s">
        <v>50</v>
      </c>
      <c r="D22">
        <v>15800</v>
      </c>
      <c r="E22" t="s">
        <v>50</v>
      </c>
      <c r="F22" t="s">
        <v>24</v>
      </c>
      <c r="G22">
        <v>29</v>
      </c>
      <c r="H22">
        <v>0</v>
      </c>
      <c r="I22">
        <v>0</v>
      </c>
      <c r="J22">
        <v>0</v>
      </c>
      <c r="K22">
        <v>0</v>
      </c>
      <c r="L22">
        <v>2836.5</v>
      </c>
      <c r="M22">
        <v>0</v>
      </c>
      <c r="N22">
        <v>0</v>
      </c>
      <c r="O22">
        <v>18665.5</v>
      </c>
      <c r="P22">
        <v>15800</v>
      </c>
      <c r="Q22" t="s">
        <v>50</v>
      </c>
      <c r="R22" t="s">
        <v>24</v>
      </c>
      <c r="S22">
        <v>609</v>
      </c>
      <c r="T22">
        <v>-457</v>
      </c>
      <c r="U22">
        <v>-42.870544090056285</v>
      </c>
      <c r="V22">
        <v>1863</v>
      </c>
      <c r="W22">
        <v>46.38</v>
      </c>
      <c r="X22">
        <v>0.7</v>
      </c>
      <c r="Y22">
        <v>-0.40000000000000013</v>
      </c>
      <c r="Z22">
        <v>-36.363636363636367</v>
      </c>
      <c r="AA22">
        <v>18665.5</v>
      </c>
    </row>
    <row r="23" spans="2:27" x14ac:dyDescent="0.25">
      <c r="B23">
        <v>15850</v>
      </c>
      <c r="C23" t="s">
        <v>50</v>
      </c>
      <c r="D23">
        <v>15850</v>
      </c>
      <c r="E23" t="s">
        <v>50</v>
      </c>
      <c r="F23" t="s">
        <v>24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18665.5</v>
      </c>
      <c r="P23">
        <v>15850</v>
      </c>
      <c r="Q23" t="s">
        <v>50</v>
      </c>
      <c r="R23" t="s">
        <v>24</v>
      </c>
      <c r="S23">
        <v>315</v>
      </c>
      <c r="T23">
        <v>55</v>
      </c>
      <c r="U23">
        <v>21.153846153846153</v>
      </c>
      <c r="V23">
        <v>472</v>
      </c>
      <c r="W23">
        <v>45.88</v>
      </c>
      <c r="X23">
        <v>0.75</v>
      </c>
      <c r="Y23">
        <v>-0.25</v>
      </c>
      <c r="Z23">
        <v>-25</v>
      </c>
      <c r="AA23">
        <v>18665.5</v>
      </c>
    </row>
    <row r="24" spans="2:27" x14ac:dyDescent="0.25">
      <c r="B24">
        <v>15900</v>
      </c>
      <c r="C24" t="s">
        <v>50</v>
      </c>
      <c r="D24">
        <v>15900</v>
      </c>
      <c r="E24" t="s">
        <v>50</v>
      </c>
      <c r="F24" t="s">
        <v>24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18665.5</v>
      </c>
      <c r="P24">
        <v>15900</v>
      </c>
      <c r="Q24" t="s">
        <v>50</v>
      </c>
      <c r="R24" t="s">
        <v>24</v>
      </c>
      <c r="S24">
        <v>468</v>
      </c>
      <c r="T24">
        <v>280</v>
      </c>
      <c r="U24">
        <v>148.93617021276594</v>
      </c>
      <c r="V24">
        <v>1381</v>
      </c>
      <c r="W24">
        <v>45.37</v>
      </c>
      <c r="X24">
        <v>0.8</v>
      </c>
      <c r="Y24">
        <v>-0.5</v>
      </c>
      <c r="Z24">
        <v>-38.46153846153846</v>
      </c>
      <c r="AA24">
        <v>18665.5</v>
      </c>
    </row>
    <row r="25" spans="2:27" x14ac:dyDescent="0.25">
      <c r="B25">
        <v>15950</v>
      </c>
      <c r="C25" t="s">
        <v>50</v>
      </c>
      <c r="D25">
        <v>15950</v>
      </c>
      <c r="E25" t="s">
        <v>50</v>
      </c>
      <c r="F25" t="s">
        <v>24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18665.5</v>
      </c>
      <c r="P25">
        <v>15950</v>
      </c>
      <c r="Q25" t="s">
        <v>50</v>
      </c>
      <c r="R25" t="s">
        <v>24</v>
      </c>
      <c r="S25">
        <v>403</v>
      </c>
      <c r="T25">
        <v>343</v>
      </c>
      <c r="U25">
        <v>571.66666666666663</v>
      </c>
      <c r="V25">
        <v>625</v>
      </c>
      <c r="W25">
        <v>44.83</v>
      </c>
      <c r="X25">
        <v>0.85</v>
      </c>
      <c r="Y25">
        <v>-0.79999999999999993</v>
      </c>
      <c r="Z25">
        <v>-48.484848484848477</v>
      </c>
      <c r="AA25">
        <v>18665.5</v>
      </c>
    </row>
    <row r="26" spans="2:27" x14ac:dyDescent="0.25">
      <c r="B26">
        <v>16000</v>
      </c>
      <c r="C26" t="s">
        <v>50</v>
      </c>
      <c r="D26">
        <v>16000</v>
      </c>
      <c r="E26" t="s">
        <v>50</v>
      </c>
      <c r="F26" t="s">
        <v>24</v>
      </c>
      <c r="G26">
        <v>6471</v>
      </c>
      <c r="H26">
        <v>-128</v>
      </c>
      <c r="I26">
        <v>-1.9396878314896195</v>
      </c>
      <c r="J26">
        <v>560</v>
      </c>
      <c r="K26">
        <v>61.4</v>
      </c>
      <c r="L26">
        <v>2704</v>
      </c>
      <c r="M26">
        <v>-129.40000000000009</v>
      </c>
      <c r="N26">
        <v>-4.5669513658502181</v>
      </c>
      <c r="O26">
        <v>18665.5</v>
      </c>
      <c r="P26">
        <v>16000</v>
      </c>
      <c r="Q26" t="s">
        <v>50</v>
      </c>
      <c r="R26" t="s">
        <v>24</v>
      </c>
      <c r="S26">
        <v>35930</v>
      </c>
      <c r="T26">
        <v>6787</v>
      </c>
      <c r="U26">
        <v>23.288611330336614</v>
      </c>
      <c r="V26">
        <v>59091</v>
      </c>
      <c r="W26">
        <v>44.74</v>
      </c>
      <c r="X26">
        <v>1</v>
      </c>
      <c r="Y26">
        <v>-0.30000000000000004</v>
      </c>
      <c r="Z26">
        <v>-23.076923076923077</v>
      </c>
      <c r="AA26">
        <v>18665.5</v>
      </c>
    </row>
    <row r="27" spans="2:27" x14ac:dyDescent="0.25">
      <c r="B27">
        <v>16050</v>
      </c>
      <c r="C27" t="s">
        <v>50</v>
      </c>
      <c r="D27">
        <v>16050</v>
      </c>
      <c r="E27" t="s">
        <v>50</v>
      </c>
      <c r="F27" t="s">
        <v>24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18665.5</v>
      </c>
      <c r="P27">
        <v>16050</v>
      </c>
      <c r="Q27" t="s">
        <v>50</v>
      </c>
      <c r="R27" t="s">
        <v>24</v>
      </c>
      <c r="S27">
        <v>678</v>
      </c>
      <c r="T27">
        <v>569</v>
      </c>
      <c r="U27">
        <v>522.01834862385317</v>
      </c>
      <c r="V27">
        <v>2061</v>
      </c>
      <c r="W27">
        <v>43.22</v>
      </c>
      <c r="X27">
        <v>0.85</v>
      </c>
      <c r="Y27">
        <v>-0.35</v>
      </c>
      <c r="Z27">
        <v>-29.166666666666668</v>
      </c>
      <c r="AA27">
        <v>18665.5</v>
      </c>
    </row>
    <row r="28" spans="2:27" x14ac:dyDescent="0.25">
      <c r="B28">
        <v>16100</v>
      </c>
      <c r="C28" t="s">
        <v>50</v>
      </c>
      <c r="D28">
        <v>16100</v>
      </c>
      <c r="E28" t="s">
        <v>50</v>
      </c>
      <c r="F28" t="s">
        <v>24</v>
      </c>
      <c r="G28">
        <v>75</v>
      </c>
      <c r="H28">
        <v>-30</v>
      </c>
      <c r="I28">
        <v>-28.571428571428573</v>
      </c>
      <c r="J28">
        <v>45</v>
      </c>
      <c r="K28">
        <v>78.599999999999994</v>
      </c>
      <c r="L28">
        <v>2645</v>
      </c>
      <c r="M28">
        <v>-191.80000000000015</v>
      </c>
      <c r="N28">
        <v>-6.761139311900739</v>
      </c>
      <c r="O28">
        <v>18665.5</v>
      </c>
      <c r="P28">
        <v>16100</v>
      </c>
      <c r="Q28" t="s">
        <v>50</v>
      </c>
      <c r="R28" t="s">
        <v>24</v>
      </c>
      <c r="S28">
        <v>834</v>
      </c>
      <c r="T28">
        <v>141</v>
      </c>
      <c r="U28">
        <v>20.346320346320347</v>
      </c>
      <c r="V28">
        <v>3840</v>
      </c>
      <c r="W28">
        <v>42.17</v>
      </c>
      <c r="X28">
        <v>0.8</v>
      </c>
      <c r="Y28">
        <v>-0.75</v>
      </c>
      <c r="Z28">
        <v>-48.387096774193544</v>
      </c>
      <c r="AA28">
        <v>18665.5</v>
      </c>
    </row>
    <row r="29" spans="2:27" x14ac:dyDescent="0.25">
      <c r="B29">
        <v>16150</v>
      </c>
      <c r="C29" t="s">
        <v>50</v>
      </c>
      <c r="D29">
        <v>16150</v>
      </c>
      <c r="E29" t="s">
        <v>50</v>
      </c>
      <c r="F29" t="s">
        <v>24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18665.5</v>
      </c>
      <c r="P29">
        <v>16150</v>
      </c>
      <c r="Q29" t="s">
        <v>50</v>
      </c>
      <c r="R29" t="s">
        <v>24</v>
      </c>
      <c r="S29">
        <v>157</v>
      </c>
      <c r="T29">
        <v>90</v>
      </c>
      <c r="U29">
        <v>134.32835820895522</v>
      </c>
      <c r="V29">
        <v>553</v>
      </c>
      <c r="W29">
        <v>42.31</v>
      </c>
      <c r="X29">
        <v>1</v>
      </c>
      <c r="Y29">
        <v>-0.35000000000000009</v>
      </c>
      <c r="Z29">
        <v>-25.925925925925931</v>
      </c>
      <c r="AA29">
        <v>18665.5</v>
      </c>
    </row>
    <row r="30" spans="2:27" x14ac:dyDescent="0.25">
      <c r="B30">
        <v>16200</v>
      </c>
      <c r="C30" t="s">
        <v>50</v>
      </c>
      <c r="D30">
        <v>16200</v>
      </c>
      <c r="E30" t="s">
        <v>50</v>
      </c>
      <c r="F30" t="s">
        <v>24</v>
      </c>
      <c r="G30">
        <v>29</v>
      </c>
      <c r="H30">
        <v>-1</v>
      </c>
      <c r="I30">
        <v>-3.3333333333333335</v>
      </c>
      <c r="J30">
        <v>1</v>
      </c>
      <c r="K30">
        <v>74.27</v>
      </c>
      <c r="L30">
        <v>2540</v>
      </c>
      <c r="M30">
        <v>-40</v>
      </c>
      <c r="N30">
        <v>-1.5503875968992249</v>
      </c>
      <c r="O30">
        <v>18665.5</v>
      </c>
      <c r="P30">
        <v>16200</v>
      </c>
      <c r="Q30" t="s">
        <v>50</v>
      </c>
      <c r="R30" t="s">
        <v>24</v>
      </c>
      <c r="S30">
        <v>698</v>
      </c>
      <c r="T30">
        <v>-328</v>
      </c>
      <c r="U30">
        <v>-31.968810916179336</v>
      </c>
      <c r="V30">
        <v>4753</v>
      </c>
      <c r="W30">
        <v>41.06</v>
      </c>
      <c r="X30">
        <v>0.9</v>
      </c>
      <c r="Y30">
        <v>-0.54999999999999993</v>
      </c>
      <c r="Z30">
        <v>-37.931034482758619</v>
      </c>
      <c r="AA30">
        <v>18665.5</v>
      </c>
    </row>
    <row r="31" spans="2:27" x14ac:dyDescent="0.25">
      <c r="B31">
        <v>16250</v>
      </c>
      <c r="C31" t="s">
        <v>50</v>
      </c>
      <c r="D31">
        <v>16250</v>
      </c>
      <c r="E31" t="s">
        <v>50</v>
      </c>
      <c r="F31" t="s">
        <v>24</v>
      </c>
      <c r="G31">
        <v>1</v>
      </c>
      <c r="H31">
        <v>0</v>
      </c>
      <c r="I31">
        <v>0</v>
      </c>
      <c r="J31">
        <v>0</v>
      </c>
      <c r="K31">
        <v>0</v>
      </c>
      <c r="L31">
        <v>2300</v>
      </c>
      <c r="M31">
        <v>0</v>
      </c>
      <c r="N31">
        <v>0</v>
      </c>
      <c r="O31">
        <v>18665.5</v>
      </c>
      <c r="P31">
        <v>16250</v>
      </c>
      <c r="Q31" t="s">
        <v>50</v>
      </c>
      <c r="R31" t="s">
        <v>24</v>
      </c>
      <c r="S31">
        <v>97</v>
      </c>
      <c r="T31">
        <v>80</v>
      </c>
      <c r="U31">
        <v>470.58823529411762</v>
      </c>
      <c r="V31">
        <v>312</v>
      </c>
      <c r="W31">
        <v>40.479999999999997</v>
      </c>
      <c r="X31">
        <v>0.95</v>
      </c>
      <c r="Y31">
        <v>-1</v>
      </c>
      <c r="Z31">
        <v>-51.282051282051292</v>
      </c>
      <c r="AA31">
        <v>18665.5</v>
      </c>
    </row>
    <row r="32" spans="2:27" x14ac:dyDescent="0.25">
      <c r="B32">
        <v>16300</v>
      </c>
      <c r="C32" t="s">
        <v>50</v>
      </c>
      <c r="D32">
        <v>16300</v>
      </c>
      <c r="E32" t="s">
        <v>50</v>
      </c>
      <c r="F32" t="s">
        <v>24</v>
      </c>
      <c r="G32">
        <v>202</v>
      </c>
      <c r="H32">
        <v>-12</v>
      </c>
      <c r="I32">
        <v>-5.6074766355140184</v>
      </c>
      <c r="J32">
        <v>13</v>
      </c>
      <c r="K32">
        <v>63.76</v>
      </c>
      <c r="L32">
        <v>2419.75</v>
      </c>
      <c r="M32">
        <v>-40.25</v>
      </c>
      <c r="N32">
        <v>-1.6361788617886179</v>
      </c>
      <c r="O32">
        <v>18665.5</v>
      </c>
      <c r="P32">
        <v>16300</v>
      </c>
      <c r="Q32" t="s">
        <v>50</v>
      </c>
      <c r="R32" t="s">
        <v>24</v>
      </c>
      <c r="S32">
        <v>323</v>
      </c>
      <c r="T32">
        <v>29</v>
      </c>
      <c r="U32">
        <v>9.8639455782312915</v>
      </c>
      <c r="V32">
        <v>835</v>
      </c>
      <c r="W32">
        <v>40.46</v>
      </c>
      <c r="X32">
        <v>0.9</v>
      </c>
      <c r="Y32">
        <v>-0.6</v>
      </c>
      <c r="Z32">
        <v>-40</v>
      </c>
      <c r="AA32">
        <v>18665.5</v>
      </c>
    </row>
    <row r="33" spans="2:27" x14ac:dyDescent="0.25">
      <c r="B33">
        <v>16350</v>
      </c>
      <c r="C33" t="s">
        <v>50</v>
      </c>
      <c r="D33">
        <v>16350</v>
      </c>
      <c r="E33" t="s">
        <v>50</v>
      </c>
      <c r="F33" t="s">
        <v>24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18665.5</v>
      </c>
      <c r="P33">
        <v>16350</v>
      </c>
      <c r="Q33" t="s">
        <v>50</v>
      </c>
      <c r="R33" t="s">
        <v>24</v>
      </c>
      <c r="S33">
        <v>91</v>
      </c>
      <c r="T33">
        <v>-2</v>
      </c>
      <c r="U33">
        <v>-2.150537634408602</v>
      </c>
      <c r="V33">
        <v>430</v>
      </c>
      <c r="W33">
        <v>38.869999999999997</v>
      </c>
      <c r="X33">
        <v>0.95</v>
      </c>
      <c r="Y33">
        <v>-0.55000000000000004</v>
      </c>
      <c r="Z33">
        <v>-36.666666666666671</v>
      </c>
      <c r="AA33">
        <v>18665.5</v>
      </c>
    </row>
    <row r="34" spans="2:27" x14ac:dyDescent="0.25">
      <c r="B34">
        <v>16400</v>
      </c>
      <c r="C34" t="s">
        <v>50</v>
      </c>
      <c r="D34">
        <v>16400</v>
      </c>
      <c r="E34" t="s">
        <v>50</v>
      </c>
      <c r="F34" t="s">
        <v>24</v>
      </c>
      <c r="G34">
        <v>44</v>
      </c>
      <c r="H34">
        <v>-1</v>
      </c>
      <c r="I34">
        <v>-2.2222222222222223</v>
      </c>
      <c r="J34">
        <v>3</v>
      </c>
      <c r="K34">
        <v>68.42</v>
      </c>
      <c r="L34">
        <v>2338</v>
      </c>
      <c r="M34">
        <v>-137.09999999999991</v>
      </c>
      <c r="N34">
        <v>-5.5391701345400151</v>
      </c>
      <c r="O34">
        <v>18665.5</v>
      </c>
      <c r="P34">
        <v>16400</v>
      </c>
      <c r="Q34" t="s">
        <v>50</v>
      </c>
      <c r="R34" t="s">
        <v>24</v>
      </c>
      <c r="S34">
        <v>1959</v>
      </c>
      <c r="T34">
        <v>145</v>
      </c>
      <c r="U34">
        <v>7.9933847850055129</v>
      </c>
      <c r="V34">
        <v>5464</v>
      </c>
      <c r="W34">
        <v>38.83</v>
      </c>
      <c r="X34">
        <v>1.1499999999999999</v>
      </c>
      <c r="Y34">
        <v>-0.35000000000000009</v>
      </c>
      <c r="Z34">
        <v>-23.333333333333339</v>
      </c>
      <c r="AA34">
        <v>18665.5</v>
      </c>
    </row>
    <row r="35" spans="2:27" x14ac:dyDescent="0.25">
      <c r="B35">
        <v>16450</v>
      </c>
      <c r="C35" t="s">
        <v>50</v>
      </c>
      <c r="D35">
        <v>16450</v>
      </c>
      <c r="E35" t="s">
        <v>50</v>
      </c>
      <c r="F35" t="s">
        <v>24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18665.5</v>
      </c>
      <c r="P35">
        <v>16450</v>
      </c>
      <c r="Q35" t="s">
        <v>50</v>
      </c>
      <c r="R35" t="s">
        <v>24</v>
      </c>
      <c r="S35">
        <v>471</v>
      </c>
      <c r="T35">
        <v>379</v>
      </c>
      <c r="U35">
        <v>411.95652173913038</v>
      </c>
      <c r="V35">
        <v>1149</v>
      </c>
      <c r="W35">
        <v>38.36</v>
      </c>
      <c r="X35">
        <v>1.25</v>
      </c>
      <c r="Y35">
        <v>-0.25</v>
      </c>
      <c r="Z35">
        <v>-16.666666666666664</v>
      </c>
      <c r="AA35">
        <v>18665.5</v>
      </c>
    </row>
    <row r="36" spans="2:27" x14ac:dyDescent="0.25">
      <c r="B36">
        <v>16500</v>
      </c>
      <c r="C36" t="s">
        <v>50</v>
      </c>
      <c r="D36">
        <v>16500</v>
      </c>
      <c r="E36" t="s">
        <v>50</v>
      </c>
      <c r="F36" t="s">
        <v>24</v>
      </c>
      <c r="G36">
        <v>3168</v>
      </c>
      <c r="H36">
        <v>-153</v>
      </c>
      <c r="I36">
        <v>-4.6070460704607044</v>
      </c>
      <c r="J36">
        <v>273</v>
      </c>
      <c r="K36">
        <v>50.28</v>
      </c>
      <c r="L36">
        <v>2202</v>
      </c>
      <c r="M36">
        <v>-136.65000000000009</v>
      </c>
      <c r="N36">
        <v>-5.8431146174074824</v>
      </c>
      <c r="O36">
        <v>18665.5</v>
      </c>
      <c r="P36">
        <v>16500</v>
      </c>
      <c r="Q36" t="s">
        <v>50</v>
      </c>
      <c r="R36" t="s">
        <v>24</v>
      </c>
      <c r="S36">
        <v>25691</v>
      </c>
      <c r="T36">
        <v>-1009</v>
      </c>
      <c r="U36">
        <v>-3.779026217228465</v>
      </c>
      <c r="V36">
        <v>67864</v>
      </c>
      <c r="W36">
        <v>37.700000000000003</v>
      </c>
      <c r="X36">
        <v>1.3</v>
      </c>
      <c r="Y36">
        <v>-0.25</v>
      </c>
      <c r="Z36">
        <v>-16.129032258064516</v>
      </c>
      <c r="AA36">
        <v>18665.5</v>
      </c>
    </row>
    <row r="37" spans="2:27" x14ac:dyDescent="0.25">
      <c r="B37">
        <v>16550</v>
      </c>
      <c r="C37" t="s">
        <v>50</v>
      </c>
      <c r="D37">
        <v>16550</v>
      </c>
      <c r="E37" t="s">
        <v>50</v>
      </c>
      <c r="F37" t="s">
        <v>24</v>
      </c>
      <c r="G37">
        <v>2</v>
      </c>
      <c r="H37">
        <v>0</v>
      </c>
      <c r="I37">
        <v>0</v>
      </c>
      <c r="J37">
        <v>0</v>
      </c>
      <c r="K37">
        <v>0</v>
      </c>
      <c r="L37">
        <v>2257.6</v>
      </c>
      <c r="M37">
        <v>0</v>
      </c>
      <c r="N37">
        <v>0</v>
      </c>
      <c r="O37">
        <v>18665.5</v>
      </c>
      <c r="P37">
        <v>16550</v>
      </c>
      <c r="Q37" t="s">
        <v>50</v>
      </c>
      <c r="R37" t="s">
        <v>24</v>
      </c>
      <c r="S37">
        <v>238</v>
      </c>
      <c r="T37">
        <v>168</v>
      </c>
      <c r="U37">
        <v>240</v>
      </c>
      <c r="V37">
        <v>1624</v>
      </c>
      <c r="W37">
        <v>36.049999999999997</v>
      </c>
      <c r="X37">
        <v>1.05</v>
      </c>
      <c r="Y37">
        <v>-0.64999999999999991</v>
      </c>
      <c r="Z37">
        <v>-38.235294117647058</v>
      </c>
      <c r="AA37">
        <v>18665.5</v>
      </c>
    </row>
    <row r="38" spans="2:27" x14ac:dyDescent="0.25">
      <c r="B38">
        <v>16600</v>
      </c>
      <c r="C38" t="s">
        <v>50</v>
      </c>
      <c r="D38">
        <v>16600</v>
      </c>
      <c r="E38" t="s">
        <v>50</v>
      </c>
      <c r="F38" t="s">
        <v>24</v>
      </c>
      <c r="G38">
        <v>138</v>
      </c>
      <c r="H38">
        <v>-3</v>
      </c>
      <c r="I38">
        <v>-2.1276595744680851</v>
      </c>
      <c r="J38">
        <v>3</v>
      </c>
      <c r="K38">
        <v>64.81</v>
      </c>
      <c r="L38">
        <v>2142.75</v>
      </c>
      <c r="M38">
        <v>-94.050000000000182</v>
      </c>
      <c r="N38">
        <v>-4.2046673819742564</v>
      </c>
      <c r="O38">
        <v>18665.5</v>
      </c>
      <c r="P38">
        <v>16600</v>
      </c>
      <c r="Q38" t="s">
        <v>50</v>
      </c>
      <c r="R38" t="s">
        <v>24</v>
      </c>
      <c r="S38">
        <v>5757</v>
      </c>
      <c r="T38">
        <v>71</v>
      </c>
      <c r="U38">
        <v>1.2486809708054871</v>
      </c>
      <c r="V38">
        <v>5469</v>
      </c>
      <c r="W38">
        <v>35.42</v>
      </c>
      <c r="X38">
        <v>1.1000000000000001</v>
      </c>
      <c r="Y38">
        <v>-0.59999999999999987</v>
      </c>
      <c r="Z38">
        <v>-35.294117647058812</v>
      </c>
      <c r="AA38">
        <v>18665.5</v>
      </c>
    </row>
    <row r="39" spans="2:27" x14ac:dyDescent="0.25">
      <c r="B39">
        <v>16650</v>
      </c>
      <c r="C39" t="s">
        <v>50</v>
      </c>
      <c r="D39">
        <v>16650</v>
      </c>
      <c r="E39" t="s">
        <v>50</v>
      </c>
      <c r="F39" t="s">
        <v>24</v>
      </c>
      <c r="G39">
        <v>1</v>
      </c>
      <c r="H39">
        <v>0</v>
      </c>
      <c r="I39">
        <v>0</v>
      </c>
      <c r="J39">
        <v>0</v>
      </c>
      <c r="K39">
        <v>0</v>
      </c>
      <c r="L39">
        <v>1541.45</v>
      </c>
      <c r="M39">
        <v>0</v>
      </c>
      <c r="N39">
        <v>0</v>
      </c>
      <c r="O39">
        <v>18665.5</v>
      </c>
      <c r="P39">
        <v>16650</v>
      </c>
      <c r="Q39" t="s">
        <v>50</v>
      </c>
      <c r="R39" t="s">
        <v>24</v>
      </c>
      <c r="S39">
        <v>825</v>
      </c>
      <c r="T39">
        <v>583</v>
      </c>
      <c r="U39">
        <v>240.90909090909091</v>
      </c>
      <c r="V39">
        <v>2651</v>
      </c>
      <c r="W39">
        <v>34.44</v>
      </c>
      <c r="X39">
        <v>1.05</v>
      </c>
      <c r="Y39">
        <v>-0.55000000000000004</v>
      </c>
      <c r="Z39">
        <v>-34.375</v>
      </c>
      <c r="AA39">
        <v>18665.5</v>
      </c>
    </row>
    <row r="40" spans="2:27" x14ac:dyDescent="0.25">
      <c r="B40">
        <v>16700</v>
      </c>
      <c r="C40" t="s">
        <v>50</v>
      </c>
      <c r="D40">
        <v>16700</v>
      </c>
      <c r="E40" t="s">
        <v>50</v>
      </c>
      <c r="F40" t="s">
        <v>24</v>
      </c>
      <c r="G40">
        <v>378</v>
      </c>
      <c r="H40">
        <v>-7</v>
      </c>
      <c r="I40">
        <v>-1.8181818181818179</v>
      </c>
      <c r="J40">
        <v>9</v>
      </c>
      <c r="K40">
        <v>54.33</v>
      </c>
      <c r="L40">
        <v>2020.1</v>
      </c>
      <c r="M40">
        <v>-129.90000000000009</v>
      </c>
      <c r="N40">
        <v>-6.0418604651162831</v>
      </c>
      <c r="O40">
        <v>18665.5</v>
      </c>
      <c r="P40">
        <v>16700</v>
      </c>
      <c r="Q40" t="s">
        <v>50</v>
      </c>
      <c r="R40" t="s">
        <v>24</v>
      </c>
      <c r="S40">
        <v>8813</v>
      </c>
      <c r="T40">
        <v>5410</v>
      </c>
      <c r="U40">
        <v>158.97737290625918</v>
      </c>
      <c r="V40">
        <v>24834</v>
      </c>
      <c r="W40">
        <v>34.119999999999997</v>
      </c>
      <c r="X40">
        <v>1.2</v>
      </c>
      <c r="Y40">
        <v>-0.5</v>
      </c>
      <c r="Z40">
        <v>-29.411764705882355</v>
      </c>
      <c r="AA40">
        <v>18665.5</v>
      </c>
    </row>
    <row r="41" spans="2:27" x14ac:dyDescent="0.25">
      <c r="B41">
        <v>16750</v>
      </c>
      <c r="C41" t="s">
        <v>50</v>
      </c>
      <c r="D41">
        <v>16750</v>
      </c>
      <c r="E41" t="s">
        <v>50</v>
      </c>
      <c r="F41" t="s">
        <v>24</v>
      </c>
      <c r="G41">
        <v>3</v>
      </c>
      <c r="H41">
        <v>0</v>
      </c>
      <c r="I41">
        <v>0</v>
      </c>
      <c r="J41">
        <v>0</v>
      </c>
      <c r="K41">
        <v>0</v>
      </c>
      <c r="L41">
        <v>1545.3</v>
      </c>
      <c r="M41">
        <v>0</v>
      </c>
      <c r="N41">
        <v>0</v>
      </c>
      <c r="O41">
        <v>18665.5</v>
      </c>
      <c r="P41">
        <v>16750</v>
      </c>
      <c r="Q41" t="s">
        <v>50</v>
      </c>
      <c r="R41" t="s">
        <v>24</v>
      </c>
      <c r="S41">
        <v>1042</v>
      </c>
      <c r="T41">
        <v>923</v>
      </c>
      <c r="U41">
        <v>775.63025210084038</v>
      </c>
      <c r="V41">
        <v>3095</v>
      </c>
      <c r="W41">
        <v>33</v>
      </c>
      <c r="X41">
        <v>1.1000000000000001</v>
      </c>
      <c r="Y41">
        <v>-0.59999999999999987</v>
      </c>
      <c r="Z41">
        <v>-35.294117647058812</v>
      </c>
      <c r="AA41">
        <v>18665.5</v>
      </c>
    </row>
    <row r="42" spans="2:27" x14ac:dyDescent="0.25">
      <c r="B42">
        <v>16800</v>
      </c>
      <c r="C42" t="s">
        <v>50</v>
      </c>
      <c r="D42">
        <v>16800</v>
      </c>
      <c r="E42" t="s">
        <v>50</v>
      </c>
      <c r="F42" t="s">
        <v>24</v>
      </c>
      <c r="G42">
        <v>577</v>
      </c>
      <c r="H42">
        <v>-1</v>
      </c>
      <c r="I42">
        <v>-0.17301038062283736</v>
      </c>
      <c r="J42">
        <v>3</v>
      </c>
      <c r="K42">
        <v>51.94</v>
      </c>
      <c r="L42">
        <v>1920.1</v>
      </c>
      <c r="M42">
        <v>-100.90000000000008</v>
      </c>
      <c r="N42">
        <v>-4.9925779317169763</v>
      </c>
      <c r="O42">
        <v>18665.5</v>
      </c>
      <c r="P42">
        <v>16800</v>
      </c>
      <c r="Q42" t="s">
        <v>50</v>
      </c>
      <c r="R42" t="s">
        <v>24</v>
      </c>
      <c r="S42">
        <v>13500</v>
      </c>
      <c r="T42">
        <v>500</v>
      </c>
      <c r="U42">
        <v>3.8461538461538463</v>
      </c>
      <c r="V42">
        <v>10238</v>
      </c>
      <c r="W42">
        <v>32.35</v>
      </c>
      <c r="X42">
        <v>1.1499999999999999</v>
      </c>
      <c r="Y42">
        <v>-0.55000000000000004</v>
      </c>
      <c r="Z42">
        <v>-32.352941176470587</v>
      </c>
      <c r="AA42">
        <v>18665.5</v>
      </c>
    </row>
    <row r="43" spans="2:27" x14ac:dyDescent="0.25">
      <c r="B43">
        <v>16850</v>
      </c>
      <c r="C43" t="s">
        <v>50</v>
      </c>
      <c r="D43">
        <v>16850</v>
      </c>
      <c r="E43" t="s">
        <v>50</v>
      </c>
      <c r="F43" t="s">
        <v>24</v>
      </c>
      <c r="G43">
        <v>1</v>
      </c>
      <c r="H43">
        <v>0</v>
      </c>
      <c r="I43">
        <v>0</v>
      </c>
      <c r="J43">
        <v>0</v>
      </c>
      <c r="K43">
        <v>0</v>
      </c>
      <c r="L43">
        <v>1574.7</v>
      </c>
      <c r="M43">
        <v>0</v>
      </c>
      <c r="N43">
        <v>0</v>
      </c>
      <c r="O43">
        <v>18665.5</v>
      </c>
      <c r="P43">
        <v>16850</v>
      </c>
      <c r="Q43" t="s">
        <v>50</v>
      </c>
      <c r="R43" t="s">
        <v>24</v>
      </c>
      <c r="S43">
        <v>383</v>
      </c>
      <c r="T43">
        <v>46</v>
      </c>
      <c r="U43">
        <v>13.649851632047476</v>
      </c>
      <c r="V43">
        <v>2197</v>
      </c>
      <c r="W43">
        <v>31.97</v>
      </c>
      <c r="X43">
        <v>1.3</v>
      </c>
      <c r="Y43">
        <v>-0.64999999999999991</v>
      </c>
      <c r="Z43">
        <v>-33.333333333333329</v>
      </c>
      <c r="AA43">
        <v>18665.5</v>
      </c>
    </row>
    <row r="44" spans="2:27" x14ac:dyDescent="0.25">
      <c r="B44">
        <v>16900</v>
      </c>
      <c r="C44" t="s">
        <v>50</v>
      </c>
      <c r="D44">
        <v>16900</v>
      </c>
      <c r="E44" t="s">
        <v>50</v>
      </c>
      <c r="F44" t="s">
        <v>24</v>
      </c>
      <c r="G44">
        <v>128</v>
      </c>
      <c r="H44">
        <v>0</v>
      </c>
      <c r="I44">
        <v>0</v>
      </c>
      <c r="J44">
        <v>0</v>
      </c>
      <c r="K44">
        <v>0</v>
      </c>
      <c r="L44">
        <v>1925</v>
      </c>
      <c r="M44">
        <v>0</v>
      </c>
      <c r="N44">
        <v>0</v>
      </c>
      <c r="O44">
        <v>18665.5</v>
      </c>
      <c r="P44">
        <v>16900</v>
      </c>
      <c r="Q44" t="s">
        <v>50</v>
      </c>
      <c r="R44" t="s">
        <v>24</v>
      </c>
      <c r="S44">
        <v>7934</v>
      </c>
      <c r="T44">
        <v>812</v>
      </c>
      <c r="U44">
        <v>11.401291771974163</v>
      </c>
      <c r="V44">
        <v>13283</v>
      </c>
      <c r="W44">
        <v>31.16</v>
      </c>
      <c r="X44">
        <v>1.3</v>
      </c>
      <c r="Y44">
        <v>-0.59999999999999987</v>
      </c>
      <c r="Z44">
        <v>-31.578947368421044</v>
      </c>
      <c r="AA44">
        <v>18665.5</v>
      </c>
    </row>
    <row r="45" spans="2:27" x14ac:dyDescent="0.25">
      <c r="B45">
        <v>16950</v>
      </c>
      <c r="C45" t="s">
        <v>50</v>
      </c>
      <c r="D45">
        <v>16950</v>
      </c>
      <c r="E45" t="s">
        <v>50</v>
      </c>
      <c r="F45" t="s">
        <v>24</v>
      </c>
      <c r="G45">
        <v>13</v>
      </c>
      <c r="H45">
        <v>-3</v>
      </c>
      <c r="I45">
        <v>-18.75</v>
      </c>
      <c r="J45">
        <v>3</v>
      </c>
      <c r="K45">
        <v>37.619999999999997</v>
      </c>
      <c r="L45">
        <v>1750</v>
      </c>
      <c r="M45">
        <v>-169.90000000000009</v>
      </c>
      <c r="N45">
        <v>-8.8494192405854513</v>
      </c>
      <c r="O45">
        <v>18665.5</v>
      </c>
      <c r="P45">
        <v>16950</v>
      </c>
      <c r="Q45" t="s">
        <v>50</v>
      </c>
      <c r="R45" t="s">
        <v>24</v>
      </c>
      <c r="S45">
        <v>221</v>
      </c>
      <c r="T45">
        <v>142</v>
      </c>
      <c r="U45">
        <v>179.74683544303798</v>
      </c>
      <c r="V45">
        <v>1163</v>
      </c>
      <c r="W45">
        <v>30.47</v>
      </c>
      <c r="X45">
        <v>1.35</v>
      </c>
      <c r="Y45">
        <v>-0.54999999999999982</v>
      </c>
      <c r="Z45">
        <v>-28.947368421052623</v>
      </c>
      <c r="AA45">
        <v>18665.5</v>
      </c>
    </row>
    <row r="46" spans="2:27" x14ac:dyDescent="0.25">
      <c r="B46">
        <v>17000</v>
      </c>
      <c r="C46" t="s">
        <v>50</v>
      </c>
      <c r="D46">
        <v>17000</v>
      </c>
      <c r="E46" t="s">
        <v>50</v>
      </c>
      <c r="F46" t="s">
        <v>24</v>
      </c>
      <c r="G46">
        <v>8974</v>
      </c>
      <c r="H46">
        <v>-340</v>
      </c>
      <c r="I46">
        <v>-3.650418724500752</v>
      </c>
      <c r="J46">
        <v>1040</v>
      </c>
      <c r="K46">
        <v>41.13</v>
      </c>
      <c r="L46">
        <v>1706.7</v>
      </c>
      <c r="M46">
        <v>-127.5</v>
      </c>
      <c r="N46">
        <v>-6.9512594046450769</v>
      </c>
      <c r="O46">
        <v>18665.5</v>
      </c>
      <c r="P46">
        <v>17000</v>
      </c>
      <c r="Q46" t="s">
        <v>50</v>
      </c>
      <c r="R46" t="s">
        <v>24</v>
      </c>
      <c r="S46">
        <v>140400</v>
      </c>
      <c r="T46">
        <v>-848</v>
      </c>
      <c r="U46">
        <v>-0.60036248300860895</v>
      </c>
      <c r="V46">
        <v>193839</v>
      </c>
      <c r="W46">
        <v>29.53</v>
      </c>
      <c r="X46">
        <v>1.4</v>
      </c>
      <c r="Y46">
        <v>-0.5</v>
      </c>
      <c r="Z46">
        <v>-26.315789473684209</v>
      </c>
      <c r="AA46">
        <v>18665.5</v>
      </c>
    </row>
    <row r="47" spans="2:27" x14ac:dyDescent="0.25">
      <c r="B47">
        <v>17050</v>
      </c>
      <c r="C47" t="s">
        <v>50</v>
      </c>
      <c r="D47">
        <v>17050</v>
      </c>
      <c r="E47" t="s">
        <v>50</v>
      </c>
      <c r="F47" t="s">
        <v>24</v>
      </c>
      <c r="G47">
        <v>60</v>
      </c>
      <c r="H47">
        <v>-2</v>
      </c>
      <c r="I47">
        <v>-3.225806451612903</v>
      </c>
      <c r="J47">
        <v>6</v>
      </c>
      <c r="K47">
        <v>38.380000000000003</v>
      </c>
      <c r="L47">
        <v>1653.9</v>
      </c>
      <c r="M47">
        <v>-146.09999999999991</v>
      </c>
      <c r="N47">
        <v>-8.11666666666666</v>
      </c>
      <c r="O47">
        <v>18665.5</v>
      </c>
      <c r="P47">
        <v>17050</v>
      </c>
      <c r="Q47" t="s">
        <v>50</v>
      </c>
      <c r="R47" t="s">
        <v>24</v>
      </c>
      <c r="S47">
        <v>684</v>
      </c>
      <c r="T47">
        <v>114</v>
      </c>
      <c r="U47">
        <v>20</v>
      </c>
      <c r="V47">
        <v>1895</v>
      </c>
      <c r="W47">
        <v>28.96</v>
      </c>
      <c r="X47">
        <v>1.4</v>
      </c>
      <c r="Y47">
        <v>-0.5</v>
      </c>
      <c r="Z47">
        <v>-26.315789473684209</v>
      </c>
      <c r="AA47">
        <v>18665.5</v>
      </c>
    </row>
    <row r="48" spans="2:27" x14ac:dyDescent="0.25">
      <c r="B48">
        <v>17100</v>
      </c>
      <c r="C48" t="s">
        <v>50</v>
      </c>
      <c r="D48">
        <v>17100</v>
      </c>
      <c r="E48" t="s">
        <v>50</v>
      </c>
      <c r="F48" t="s">
        <v>24</v>
      </c>
      <c r="G48">
        <v>631</v>
      </c>
      <c r="H48">
        <v>-14</v>
      </c>
      <c r="I48">
        <v>-2.1705426356589146</v>
      </c>
      <c r="J48">
        <v>22</v>
      </c>
      <c r="K48">
        <v>43.2</v>
      </c>
      <c r="L48">
        <v>1615.95</v>
      </c>
      <c r="M48">
        <v>-116.14999999999986</v>
      </c>
      <c r="N48">
        <v>-6.7057329253507225</v>
      </c>
      <c r="O48">
        <v>18665.5</v>
      </c>
      <c r="P48">
        <v>17100</v>
      </c>
      <c r="Q48" t="s">
        <v>50</v>
      </c>
      <c r="R48" t="s">
        <v>24</v>
      </c>
      <c r="S48">
        <v>6672</v>
      </c>
      <c r="T48">
        <v>-331</v>
      </c>
      <c r="U48">
        <v>-4.7265457661002426</v>
      </c>
      <c r="V48">
        <v>11989</v>
      </c>
      <c r="W48">
        <v>28.02</v>
      </c>
      <c r="X48">
        <v>1.35</v>
      </c>
      <c r="Y48">
        <v>-0.59999999999999987</v>
      </c>
      <c r="Z48">
        <v>-30.769230769230766</v>
      </c>
      <c r="AA48">
        <v>18665.5</v>
      </c>
    </row>
    <row r="49" spans="2:27" x14ac:dyDescent="0.25">
      <c r="B49">
        <v>17150</v>
      </c>
      <c r="C49" t="s">
        <v>50</v>
      </c>
      <c r="D49">
        <v>17150</v>
      </c>
      <c r="E49" t="s">
        <v>50</v>
      </c>
      <c r="F49" t="s">
        <v>24</v>
      </c>
      <c r="G49">
        <v>35</v>
      </c>
      <c r="H49">
        <v>0</v>
      </c>
      <c r="I49">
        <v>0</v>
      </c>
      <c r="J49">
        <v>0</v>
      </c>
      <c r="K49">
        <v>0</v>
      </c>
      <c r="L49">
        <v>1750.5</v>
      </c>
      <c r="M49">
        <v>0</v>
      </c>
      <c r="N49">
        <v>0</v>
      </c>
      <c r="O49">
        <v>18665.5</v>
      </c>
      <c r="P49">
        <v>17150</v>
      </c>
      <c r="Q49" t="s">
        <v>50</v>
      </c>
      <c r="R49" t="s">
        <v>24</v>
      </c>
      <c r="S49">
        <v>1217</v>
      </c>
      <c r="T49">
        <v>-15</v>
      </c>
      <c r="U49">
        <v>-1.2175324675324677</v>
      </c>
      <c r="V49">
        <v>3723</v>
      </c>
      <c r="W49">
        <v>27.54</v>
      </c>
      <c r="X49">
        <v>1.3</v>
      </c>
      <c r="Y49">
        <v>-0.7</v>
      </c>
      <c r="Z49">
        <v>-35</v>
      </c>
      <c r="AA49">
        <v>18665.5</v>
      </c>
    </row>
    <row r="50" spans="2:27" x14ac:dyDescent="0.25">
      <c r="B50">
        <v>17200</v>
      </c>
      <c r="C50" t="s">
        <v>50</v>
      </c>
      <c r="D50">
        <v>17200</v>
      </c>
      <c r="E50" t="s">
        <v>50</v>
      </c>
      <c r="F50" t="s">
        <v>24</v>
      </c>
      <c r="G50">
        <v>1048</v>
      </c>
      <c r="H50">
        <v>-18</v>
      </c>
      <c r="I50">
        <v>-1.6885553470919326</v>
      </c>
      <c r="J50">
        <v>84</v>
      </c>
      <c r="K50">
        <v>36.15</v>
      </c>
      <c r="L50">
        <v>1505.6</v>
      </c>
      <c r="M50">
        <v>-116.70000000000005</v>
      </c>
      <c r="N50">
        <v>-7.1934907230475282</v>
      </c>
      <c r="O50">
        <v>18665.5</v>
      </c>
      <c r="P50">
        <v>17200</v>
      </c>
      <c r="Q50" t="s">
        <v>50</v>
      </c>
      <c r="R50" t="s">
        <v>24</v>
      </c>
      <c r="S50">
        <v>14546</v>
      </c>
      <c r="T50">
        <v>775</v>
      </c>
      <c r="U50">
        <v>5.6277684990196795</v>
      </c>
      <c r="V50">
        <v>41469</v>
      </c>
      <c r="W50">
        <v>26.61</v>
      </c>
      <c r="X50">
        <v>1.45</v>
      </c>
      <c r="Y50">
        <v>-0.55000000000000004</v>
      </c>
      <c r="Z50">
        <v>-27.500000000000004</v>
      </c>
      <c r="AA50">
        <v>18665.5</v>
      </c>
    </row>
    <row r="51" spans="2:27" x14ac:dyDescent="0.25">
      <c r="B51">
        <v>17250</v>
      </c>
      <c r="C51" t="s">
        <v>50</v>
      </c>
      <c r="D51">
        <v>17250</v>
      </c>
      <c r="E51" t="s">
        <v>50</v>
      </c>
      <c r="F51" t="s">
        <v>24</v>
      </c>
      <c r="G51">
        <v>44</v>
      </c>
      <c r="H51">
        <v>-1</v>
      </c>
      <c r="I51">
        <v>-2.2222222222222223</v>
      </c>
      <c r="J51">
        <v>5</v>
      </c>
      <c r="K51">
        <v>33.549999999999997</v>
      </c>
      <c r="L51">
        <v>1453</v>
      </c>
      <c r="M51">
        <v>-137</v>
      </c>
      <c r="N51">
        <v>-8.6163522012578611</v>
      </c>
      <c r="O51">
        <v>18665.5</v>
      </c>
      <c r="P51">
        <v>17250</v>
      </c>
      <c r="Q51" t="s">
        <v>50</v>
      </c>
      <c r="R51" t="s">
        <v>24</v>
      </c>
      <c r="S51">
        <v>568</v>
      </c>
      <c r="T51">
        <v>53</v>
      </c>
      <c r="U51">
        <v>10.291262135922331</v>
      </c>
      <c r="V51">
        <v>5880</v>
      </c>
      <c r="W51">
        <v>25.68</v>
      </c>
      <c r="X51">
        <v>1.4</v>
      </c>
      <c r="Y51">
        <v>-0.55000000000000004</v>
      </c>
      <c r="Z51">
        <v>-28.205128205128212</v>
      </c>
      <c r="AA51">
        <v>18665.5</v>
      </c>
    </row>
    <row r="52" spans="2:27" x14ac:dyDescent="0.25">
      <c r="B52">
        <v>17300</v>
      </c>
      <c r="C52" t="s">
        <v>50</v>
      </c>
      <c r="D52">
        <v>17300</v>
      </c>
      <c r="E52" t="s">
        <v>50</v>
      </c>
      <c r="F52" t="s">
        <v>24</v>
      </c>
      <c r="G52">
        <v>630</v>
      </c>
      <c r="H52">
        <v>-112</v>
      </c>
      <c r="I52">
        <v>-15.09433962264151</v>
      </c>
      <c r="J52">
        <v>121</v>
      </c>
      <c r="K52">
        <v>32.909999999999997</v>
      </c>
      <c r="L52">
        <v>1403.7</v>
      </c>
      <c r="M52">
        <v>-124.45000000000005</v>
      </c>
      <c r="N52">
        <v>-8.1438340477047433</v>
      </c>
      <c r="O52">
        <v>18665.5</v>
      </c>
      <c r="P52">
        <v>17300</v>
      </c>
      <c r="Q52" t="s">
        <v>50</v>
      </c>
      <c r="R52" t="s">
        <v>24</v>
      </c>
      <c r="S52">
        <v>12854</v>
      </c>
      <c r="T52">
        <v>-75</v>
      </c>
      <c r="U52">
        <v>-0.58009126769278363</v>
      </c>
      <c r="V52">
        <v>32134</v>
      </c>
      <c r="W52">
        <v>25.17</v>
      </c>
      <c r="X52">
        <v>1.4</v>
      </c>
      <c r="Y52">
        <v>-0.64999999999999991</v>
      </c>
      <c r="Z52">
        <v>-31.707317073170731</v>
      </c>
      <c r="AA52">
        <v>18665.5</v>
      </c>
    </row>
    <row r="53" spans="2:27" x14ac:dyDescent="0.25">
      <c r="B53">
        <v>17350</v>
      </c>
      <c r="C53" t="s">
        <v>50</v>
      </c>
      <c r="D53">
        <v>17350</v>
      </c>
      <c r="E53" t="s">
        <v>50</v>
      </c>
      <c r="F53" t="s">
        <v>24</v>
      </c>
      <c r="G53">
        <v>151</v>
      </c>
      <c r="H53">
        <v>-26</v>
      </c>
      <c r="I53">
        <v>-14.689265536723164</v>
      </c>
      <c r="J53">
        <v>76</v>
      </c>
      <c r="K53">
        <v>41.14</v>
      </c>
      <c r="L53">
        <v>1377.5</v>
      </c>
      <c r="M53">
        <v>-111.25</v>
      </c>
      <c r="N53">
        <v>-7.4727120067170443</v>
      </c>
      <c r="O53">
        <v>18665.5</v>
      </c>
      <c r="P53">
        <v>17350</v>
      </c>
      <c r="Q53" t="s">
        <v>50</v>
      </c>
      <c r="R53" t="s">
        <v>24</v>
      </c>
      <c r="S53">
        <v>1876</v>
      </c>
      <c r="T53">
        <v>864</v>
      </c>
      <c r="U53">
        <v>85.37549407114625</v>
      </c>
      <c r="V53">
        <v>30088</v>
      </c>
      <c r="W53">
        <v>24.34</v>
      </c>
      <c r="X53">
        <v>1.5</v>
      </c>
      <c r="Y53">
        <v>-0.60000000000000009</v>
      </c>
      <c r="Z53">
        <v>-28.571428571428577</v>
      </c>
      <c r="AA53">
        <v>18665.5</v>
      </c>
    </row>
    <row r="54" spans="2:27" x14ac:dyDescent="0.25">
      <c r="B54">
        <v>17400</v>
      </c>
      <c r="C54" t="s">
        <v>50</v>
      </c>
      <c r="D54">
        <v>17400</v>
      </c>
      <c r="E54" t="s">
        <v>50</v>
      </c>
      <c r="F54" t="s">
        <v>24</v>
      </c>
      <c r="G54">
        <v>1081</v>
      </c>
      <c r="H54">
        <v>-93</v>
      </c>
      <c r="I54">
        <v>-7.9216354344122655</v>
      </c>
      <c r="J54">
        <v>96</v>
      </c>
      <c r="K54">
        <v>31.49</v>
      </c>
      <c r="L54">
        <v>1305</v>
      </c>
      <c r="M54">
        <v>-122</v>
      </c>
      <c r="N54">
        <v>-8.5494043447792567</v>
      </c>
      <c r="O54">
        <v>18665.5</v>
      </c>
      <c r="P54">
        <v>17400</v>
      </c>
      <c r="Q54" t="s">
        <v>50</v>
      </c>
      <c r="R54" t="s">
        <v>24</v>
      </c>
      <c r="S54">
        <v>14280</v>
      </c>
      <c r="T54">
        <v>-1001</v>
      </c>
      <c r="U54">
        <v>-6.5506184150251947</v>
      </c>
      <c r="V54">
        <v>70041</v>
      </c>
      <c r="W54">
        <v>23.6</v>
      </c>
      <c r="X54">
        <v>1.6</v>
      </c>
      <c r="Y54">
        <v>-0.5</v>
      </c>
      <c r="Z54">
        <v>-23.809523809523807</v>
      </c>
      <c r="AA54">
        <v>18665.5</v>
      </c>
    </row>
    <row r="55" spans="2:27" x14ac:dyDescent="0.25">
      <c r="B55">
        <v>17450</v>
      </c>
      <c r="C55" t="s">
        <v>50</v>
      </c>
      <c r="D55">
        <v>17450</v>
      </c>
      <c r="E55" t="s">
        <v>50</v>
      </c>
      <c r="F55" t="s">
        <v>24</v>
      </c>
      <c r="G55">
        <v>74</v>
      </c>
      <c r="H55">
        <v>0</v>
      </c>
      <c r="I55">
        <v>0</v>
      </c>
      <c r="J55">
        <v>2</v>
      </c>
      <c r="K55">
        <v>41.71</v>
      </c>
      <c r="L55">
        <v>1289</v>
      </c>
      <c r="M55">
        <v>-151</v>
      </c>
      <c r="N55">
        <v>-10.486111111111111</v>
      </c>
      <c r="O55">
        <v>18665.5</v>
      </c>
      <c r="P55">
        <v>17450</v>
      </c>
      <c r="Q55" t="s">
        <v>50</v>
      </c>
      <c r="R55" t="s">
        <v>24</v>
      </c>
      <c r="S55">
        <v>1599</v>
      </c>
      <c r="T55">
        <v>511</v>
      </c>
      <c r="U55">
        <v>46.966911764705891</v>
      </c>
      <c r="V55">
        <v>48331</v>
      </c>
      <c r="W55">
        <v>22.49</v>
      </c>
      <c r="X55">
        <v>1.35</v>
      </c>
      <c r="Y55">
        <v>-0.85000000000000009</v>
      </c>
      <c r="Z55">
        <v>-38.636363636363633</v>
      </c>
      <c r="AA55">
        <v>18665.5</v>
      </c>
    </row>
    <row r="56" spans="2:27" x14ac:dyDescent="0.25">
      <c r="B56">
        <v>17500</v>
      </c>
      <c r="C56" t="s">
        <v>50</v>
      </c>
      <c r="D56">
        <v>17500</v>
      </c>
      <c r="E56" t="s">
        <v>50</v>
      </c>
      <c r="F56" t="s">
        <v>24</v>
      </c>
      <c r="G56">
        <v>8496</v>
      </c>
      <c r="H56">
        <v>-396</v>
      </c>
      <c r="I56">
        <v>-4.4534412955465585</v>
      </c>
      <c r="J56">
        <v>845</v>
      </c>
      <c r="K56">
        <v>27.66</v>
      </c>
      <c r="L56">
        <v>1202</v>
      </c>
      <c r="M56">
        <v>-127.54999999999995</v>
      </c>
      <c r="N56">
        <v>-9.5934714753111923</v>
      </c>
      <c r="O56">
        <v>18665.5</v>
      </c>
      <c r="P56">
        <v>17500</v>
      </c>
      <c r="Q56" t="s">
        <v>50</v>
      </c>
      <c r="R56" t="s">
        <v>24</v>
      </c>
      <c r="S56">
        <v>58835</v>
      </c>
      <c r="T56">
        <v>6435</v>
      </c>
      <c r="U56">
        <v>12.280534351145038</v>
      </c>
      <c r="V56">
        <v>177626</v>
      </c>
      <c r="W56">
        <v>21.85</v>
      </c>
      <c r="X56">
        <v>1.65</v>
      </c>
      <c r="Y56">
        <v>-0.64999999999999991</v>
      </c>
      <c r="Z56">
        <v>-28.260869565217391</v>
      </c>
      <c r="AA56">
        <v>18665.5</v>
      </c>
    </row>
    <row r="57" spans="2:27" x14ac:dyDescent="0.25">
      <c r="B57">
        <v>17550</v>
      </c>
      <c r="C57" t="s">
        <v>50</v>
      </c>
      <c r="D57">
        <v>17550</v>
      </c>
      <c r="E57" t="s">
        <v>50</v>
      </c>
      <c r="F57" t="s">
        <v>24</v>
      </c>
      <c r="G57">
        <v>430</v>
      </c>
      <c r="H57">
        <v>-13</v>
      </c>
      <c r="I57">
        <v>-2.9345372460496613</v>
      </c>
      <c r="J57">
        <v>13</v>
      </c>
      <c r="K57">
        <v>38.299999999999997</v>
      </c>
      <c r="L57">
        <v>1185.75</v>
      </c>
      <c r="M57">
        <v>-103.95000000000005</v>
      </c>
      <c r="N57">
        <v>-8.060013956734128</v>
      </c>
      <c r="O57">
        <v>18665.5</v>
      </c>
      <c r="P57">
        <v>17550</v>
      </c>
      <c r="Q57" t="s">
        <v>50</v>
      </c>
      <c r="R57" t="s">
        <v>24</v>
      </c>
      <c r="S57">
        <v>1264</v>
      </c>
      <c r="T57">
        <v>66</v>
      </c>
      <c r="U57">
        <v>5.5091819699499167</v>
      </c>
      <c r="V57">
        <v>41424</v>
      </c>
      <c r="W57">
        <v>20.93</v>
      </c>
      <c r="X57">
        <v>1.55</v>
      </c>
      <c r="Y57">
        <v>-0.74999999999999978</v>
      </c>
      <c r="Z57">
        <v>-32.608695652173907</v>
      </c>
      <c r="AA57">
        <v>18665.5</v>
      </c>
    </row>
    <row r="58" spans="2:27" x14ac:dyDescent="0.25">
      <c r="B58">
        <v>17600</v>
      </c>
      <c r="C58" t="s">
        <v>50</v>
      </c>
      <c r="D58">
        <v>17600</v>
      </c>
      <c r="E58" t="s">
        <v>50</v>
      </c>
      <c r="F58" t="s">
        <v>24</v>
      </c>
      <c r="G58">
        <v>2534</v>
      </c>
      <c r="H58">
        <v>-613</v>
      </c>
      <c r="I58">
        <v>-19.478868763902128</v>
      </c>
      <c r="J58">
        <v>805</v>
      </c>
      <c r="K58">
        <v>26.4</v>
      </c>
      <c r="L58">
        <v>1103.5</v>
      </c>
      <c r="M58">
        <v>-124.95000000000005</v>
      </c>
      <c r="N58">
        <v>-10.171354145467868</v>
      </c>
      <c r="O58">
        <v>18665.5</v>
      </c>
      <c r="P58">
        <v>17600</v>
      </c>
      <c r="Q58" t="s">
        <v>50</v>
      </c>
      <c r="R58" t="s">
        <v>24</v>
      </c>
      <c r="S58">
        <v>24740</v>
      </c>
      <c r="T58">
        <v>4056</v>
      </c>
      <c r="U58">
        <v>19.609359891703733</v>
      </c>
      <c r="V58">
        <v>131682</v>
      </c>
      <c r="W58">
        <v>20.02</v>
      </c>
      <c r="X58">
        <v>1.45</v>
      </c>
      <c r="Y58">
        <v>-0.90000000000000013</v>
      </c>
      <c r="Z58">
        <v>-38.297872340425535</v>
      </c>
      <c r="AA58">
        <v>18665.5</v>
      </c>
    </row>
    <row r="59" spans="2:27" x14ac:dyDescent="0.25">
      <c r="B59">
        <v>17650</v>
      </c>
      <c r="C59" t="s">
        <v>50</v>
      </c>
      <c r="D59">
        <v>17650</v>
      </c>
      <c r="E59" t="s">
        <v>50</v>
      </c>
      <c r="F59" t="s">
        <v>24</v>
      </c>
      <c r="G59">
        <v>225</v>
      </c>
      <c r="H59">
        <v>0</v>
      </c>
      <c r="I59">
        <v>0</v>
      </c>
      <c r="J59">
        <v>0</v>
      </c>
      <c r="K59">
        <v>0</v>
      </c>
      <c r="L59">
        <v>1160</v>
      </c>
      <c r="M59">
        <v>0</v>
      </c>
      <c r="N59">
        <v>0</v>
      </c>
      <c r="O59">
        <v>18665.5</v>
      </c>
      <c r="P59">
        <v>17650</v>
      </c>
      <c r="Q59" t="s">
        <v>50</v>
      </c>
      <c r="R59" t="s">
        <v>24</v>
      </c>
      <c r="S59">
        <v>2300</v>
      </c>
      <c r="T59">
        <v>1082</v>
      </c>
      <c r="U59">
        <v>88.834154351395725</v>
      </c>
      <c r="V59">
        <v>52711</v>
      </c>
      <c r="W59">
        <v>19.510000000000002</v>
      </c>
      <c r="X59">
        <v>1.75</v>
      </c>
      <c r="Y59">
        <v>-0.70000000000000018</v>
      </c>
      <c r="Z59">
        <v>-28.571428571428577</v>
      </c>
      <c r="AA59">
        <v>18665.5</v>
      </c>
    </row>
    <row r="60" spans="2:27" x14ac:dyDescent="0.25">
      <c r="B60">
        <v>17700</v>
      </c>
      <c r="C60" t="s">
        <v>50</v>
      </c>
      <c r="D60">
        <v>17700</v>
      </c>
      <c r="E60" t="s">
        <v>50</v>
      </c>
      <c r="F60" t="s">
        <v>24</v>
      </c>
      <c r="G60">
        <v>2187</v>
      </c>
      <c r="H60">
        <v>-174</v>
      </c>
      <c r="I60">
        <v>-7.3697585768742062</v>
      </c>
      <c r="J60">
        <v>328</v>
      </c>
      <c r="K60">
        <v>22.63</v>
      </c>
      <c r="L60">
        <v>1000.6</v>
      </c>
      <c r="M60">
        <v>-129.69999999999993</v>
      </c>
      <c r="N60">
        <v>-11.47482969123241</v>
      </c>
      <c r="O60">
        <v>18665.5</v>
      </c>
      <c r="P60">
        <v>17700</v>
      </c>
      <c r="Q60" t="s">
        <v>50</v>
      </c>
      <c r="R60" t="s">
        <v>24</v>
      </c>
      <c r="S60">
        <v>29073</v>
      </c>
      <c r="T60">
        <v>7177</v>
      </c>
      <c r="U60">
        <v>32.777676287906466</v>
      </c>
      <c r="V60">
        <v>160014</v>
      </c>
      <c r="W60">
        <v>18.670000000000002</v>
      </c>
      <c r="X60">
        <v>1.65</v>
      </c>
      <c r="Y60">
        <v>-0.85000000000000009</v>
      </c>
      <c r="Z60">
        <v>-34</v>
      </c>
      <c r="AA60">
        <v>18665.5</v>
      </c>
    </row>
    <row r="61" spans="2:27" x14ac:dyDescent="0.25">
      <c r="B61">
        <v>17750</v>
      </c>
      <c r="C61" t="s">
        <v>50</v>
      </c>
      <c r="D61">
        <v>17750</v>
      </c>
      <c r="E61" t="s">
        <v>50</v>
      </c>
      <c r="F61" t="s">
        <v>24</v>
      </c>
      <c r="G61">
        <v>768</v>
      </c>
      <c r="H61">
        <v>-33</v>
      </c>
      <c r="I61">
        <v>-4.1198501872659179</v>
      </c>
      <c r="J61">
        <v>43</v>
      </c>
      <c r="K61">
        <v>21.42</v>
      </c>
      <c r="L61">
        <v>950.3</v>
      </c>
      <c r="M61">
        <v>-121.79999999999995</v>
      </c>
      <c r="N61">
        <v>-11.360880514877341</v>
      </c>
      <c r="O61">
        <v>18665.5</v>
      </c>
      <c r="P61">
        <v>17750</v>
      </c>
      <c r="Q61" t="s">
        <v>50</v>
      </c>
      <c r="R61" t="s">
        <v>24</v>
      </c>
      <c r="S61">
        <v>10242</v>
      </c>
      <c r="T61">
        <v>481</v>
      </c>
      <c r="U61">
        <v>4.9277737936686812</v>
      </c>
      <c r="V61">
        <v>79450</v>
      </c>
      <c r="W61">
        <v>17.829999999999998</v>
      </c>
      <c r="X61">
        <v>1.65</v>
      </c>
      <c r="Y61">
        <v>-0.85000000000000009</v>
      </c>
      <c r="Z61">
        <v>-34</v>
      </c>
      <c r="AA61">
        <v>18665.5</v>
      </c>
    </row>
    <row r="62" spans="2:27" x14ac:dyDescent="0.25">
      <c r="B62">
        <v>17800</v>
      </c>
      <c r="C62" t="s">
        <v>50</v>
      </c>
      <c r="D62">
        <v>17800</v>
      </c>
      <c r="E62" t="s">
        <v>50</v>
      </c>
      <c r="F62" t="s">
        <v>24</v>
      </c>
      <c r="G62">
        <v>2959</v>
      </c>
      <c r="H62">
        <v>-251</v>
      </c>
      <c r="I62">
        <v>-7.8193146417445485</v>
      </c>
      <c r="J62">
        <v>486</v>
      </c>
      <c r="K62">
        <v>22.42</v>
      </c>
      <c r="L62">
        <v>904.1</v>
      </c>
      <c r="M62">
        <v>-125.60000000000002</v>
      </c>
      <c r="N62">
        <v>-12.197727493444695</v>
      </c>
      <c r="O62">
        <v>18665.5</v>
      </c>
      <c r="P62">
        <v>17800</v>
      </c>
      <c r="Q62" t="s">
        <v>50</v>
      </c>
      <c r="R62" t="s">
        <v>24</v>
      </c>
      <c r="S62">
        <v>50645</v>
      </c>
      <c r="T62">
        <v>15471</v>
      </c>
      <c r="U62">
        <v>43.984192869733327</v>
      </c>
      <c r="V62">
        <v>276803</v>
      </c>
      <c r="W62">
        <v>17.489999999999998</v>
      </c>
      <c r="X62">
        <v>2.0499999999999998</v>
      </c>
      <c r="Y62">
        <v>-0.60000000000000009</v>
      </c>
      <c r="Z62">
        <v>-22.641509433962263</v>
      </c>
      <c r="AA62">
        <v>18665.5</v>
      </c>
    </row>
    <row r="63" spans="2:27" x14ac:dyDescent="0.25">
      <c r="B63">
        <v>17850</v>
      </c>
      <c r="C63" t="s">
        <v>50</v>
      </c>
      <c r="D63">
        <v>17850</v>
      </c>
      <c r="E63" t="s">
        <v>50</v>
      </c>
      <c r="F63" t="s">
        <v>24</v>
      </c>
      <c r="G63">
        <v>565</v>
      </c>
      <c r="H63">
        <v>-1</v>
      </c>
      <c r="I63">
        <v>-0.17667844522968201</v>
      </c>
      <c r="J63">
        <v>29</v>
      </c>
      <c r="K63">
        <v>30.13</v>
      </c>
      <c r="L63">
        <v>884.4</v>
      </c>
      <c r="M63">
        <v>-84.550000000000068</v>
      </c>
      <c r="N63">
        <v>-8.7259404510036713</v>
      </c>
      <c r="O63">
        <v>18665.5</v>
      </c>
      <c r="P63">
        <v>17850</v>
      </c>
      <c r="Q63" t="s">
        <v>50</v>
      </c>
      <c r="R63" t="s">
        <v>24</v>
      </c>
      <c r="S63">
        <v>5238</v>
      </c>
      <c r="T63">
        <v>1020</v>
      </c>
      <c r="U63">
        <v>24.182076813655758</v>
      </c>
      <c r="V63">
        <v>89659</v>
      </c>
      <c r="W63">
        <v>16.329999999999998</v>
      </c>
      <c r="X63">
        <v>1.95</v>
      </c>
      <c r="Y63">
        <v>-0.90000000000000013</v>
      </c>
      <c r="Z63">
        <v>-31.578947368421055</v>
      </c>
      <c r="AA63">
        <v>18665.5</v>
      </c>
    </row>
    <row r="64" spans="2:27" x14ac:dyDescent="0.25">
      <c r="B64">
        <v>17900</v>
      </c>
      <c r="C64" t="s">
        <v>50</v>
      </c>
      <c r="D64">
        <v>17900</v>
      </c>
      <c r="E64" t="s">
        <v>50</v>
      </c>
      <c r="F64" t="s">
        <v>24</v>
      </c>
      <c r="G64">
        <v>1618</v>
      </c>
      <c r="H64">
        <v>-165</v>
      </c>
      <c r="I64">
        <v>-9.2540661805945046</v>
      </c>
      <c r="J64">
        <v>277</v>
      </c>
      <c r="K64">
        <v>19.760000000000002</v>
      </c>
      <c r="L64">
        <v>803</v>
      </c>
      <c r="M64">
        <v>-129.70000000000005</v>
      </c>
      <c r="N64">
        <v>-13.905864693899437</v>
      </c>
      <c r="O64">
        <v>18665.5</v>
      </c>
      <c r="P64">
        <v>17900</v>
      </c>
      <c r="Q64" t="s">
        <v>50</v>
      </c>
      <c r="R64" t="s">
        <v>24</v>
      </c>
      <c r="S64">
        <v>35585</v>
      </c>
      <c r="T64">
        <v>4938</v>
      </c>
      <c r="U64">
        <v>16.112506933794499</v>
      </c>
      <c r="V64">
        <v>299165</v>
      </c>
      <c r="W64">
        <v>15.7</v>
      </c>
      <c r="X64">
        <v>1.9</v>
      </c>
      <c r="Y64">
        <v>-1.1000000000000001</v>
      </c>
      <c r="Z64">
        <v>-36.666666666666671</v>
      </c>
      <c r="AA64">
        <v>18665.5</v>
      </c>
    </row>
    <row r="65" spans="2:27" x14ac:dyDescent="0.25">
      <c r="B65">
        <v>17950</v>
      </c>
      <c r="C65" t="s">
        <v>50</v>
      </c>
      <c r="D65">
        <v>17950</v>
      </c>
      <c r="E65" t="s">
        <v>50</v>
      </c>
      <c r="F65" t="s">
        <v>24</v>
      </c>
      <c r="G65">
        <v>744</v>
      </c>
      <c r="H65">
        <v>-36</v>
      </c>
      <c r="I65">
        <v>-4.615384615384615</v>
      </c>
      <c r="J65">
        <v>40</v>
      </c>
      <c r="K65">
        <v>20.55</v>
      </c>
      <c r="L65">
        <v>757.7</v>
      </c>
      <c r="M65">
        <v>-190.29999999999995</v>
      </c>
      <c r="N65">
        <v>-20.073839662447252</v>
      </c>
      <c r="O65">
        <v>18665.5</v>
      </c>
      <c r="P65">
        <v>17950</v>
      </c>
      <c r="Q65" t="s">
        <v>50</v>
      </c>
      <c r="R65" t="s">
        <v>24</v>
      </c>
      <c r="S65">
        <v>10700</v>
      </c>
      <c r="T65">
        <v>4940</v>
      </c>
      <c r="U65">
        <v>85.763888888888886</v>
      </c>
      <c r="V65">
        <v>145197</v>
      </c>
      <c r="W65">
        <v>14.98</v>
      </c>
      <c r="X65">
        <v>1.8</v>
      </c>
      <c r="Y65">
        <v>-1.45</v>
      </c>
      <c r="Z65">
        <v>-44.615384615384613</v>
      </c>
      <c r="AA65">
        <v>18665.5</v>
      </c>
    </row>
    <row r="66" spans="2:27" x14ac:dyDescent="0.25">
      <c r="B66">
        <v>18000</v>
      </c>
      <c r="C66" t="s">
        <v>50</v>
      </c>
      <c r="D66">
        <v>18000</v>
      </c>
      <c r="E66" t="s">
        <v>50</v>
      </c>
      <c r="F66" t="s">
        <v>24</v>
      </c>
      <c r="G66">
        <v>19138</v>
      </c>
      <c r="H66">
        <v>-429</v>
      </c>
      <c r="I66">
        <v>-2.1924669085705526</v>
      </c>
      <c r="J66">
        <v>6002</v>
      </c>
      <c r="K66">
        <v>18.22</v>
      </c>
      <c r="L66">
        <v>704.45</v>
      </c>
      <c r="M66">
        <v>-129.34999999999991</v>
      </c>
      <c r="N66">
        <v>-15.513312544974802</v>
      </c>
      <c r="O66">
        <v>18665.5</v>
      </c>
      <c r="P66">
        <v>18000</v>
      </c>
      <c r="Q66" t="s">
        <v>50</v>
      </c>
      <c r="R66" t="s">
        <v>24</v>
      </c>
      <c r="S66">
        <v>152226</v>
      </c>
      <c r="T66">
        <v>40553</v>
      </c>
      <c r="U66">
        <v>36.314059799593458</v>
      </c>
      <c r="V66">
        <v>549063</v>
      </c>
      <c r="W66">
        <v>14.43</v>
      </c>
      <c r="X66">
        <v>2.4500000000000002</v>
      </c>
      <c r="Y66">
        <v>-1.1999999999999995</v>
      </c>
      <c r="Z66">
        <v>-32.876712328767113</v>
      </c>
      <c r="AA66">
        <v>18665.5</v>
      </c>
    </row>
    <row r="67" spans="2:27" x14ac:dyDescent="0.25">
      <c r="B67">
        <v>18050</v>
      </c>
      <c r="C67" t="s">
        <v>50</v>
      </c>
      <c r="D67">
        <v>18050</v>
      </c>
      <c r="E67" t="s">
        <v>50</v>
      </c>
      <c r="F67" t="s">
        <v>24</v>
      </c>
      <c r="G67">
        <v>219</v>
      </c>
      <c r="H67">
        <v>-6</v>
      </c>
      <c r="I67">
        <v>-2.6666666666666665</v>
      </c>
      <c r="J67">
        <v>31</v>
      </c>
      <c r="K67">
        <v>20.190000000000001</v>
      </c>
      <c r="L67">
        <v>664.2</v>
      </c>
      <c r="M67">
        <v>-121.59999999999992</v>
      </c>
      <c r="N67">
        <v>-15.47467548994654</v>
      </c>
      <c r="O67">
        <v>18665.5</v>
      </c>
      <c r="P67">
        <v>18050</v>
      </c>
      <c r="Q67" t="s">
        <v>50</v>
      </c>
      <c r="R67" t="s">
        <v>24</v>
      </c>
      <c r="S67">
        <v>7709</v>
      </c>
      <c r="T67">
        <v>2836</v>
      </c>
      <c r="U67">
        <v>58.198235173404477</v>
      </c>
      <c r="V67">
        <v>137889</v>
      </c>
      <c r="W67">
        <v>13.99</v>
      </c>
      <c r="X67">
        <v>3.1</v>
      </c>
      <c r="Y67">
        <v>-0.85000000000000009</v>
      </c>
      <c r="Z67">
        <v>-21.518987341772153</v>
      </c>
      <c r="AA67">
        <v>18665.5</v>
      </c>
    </row>
    <row r="68" spans="2:27" x14ac:dyDescent="0.25">
      <c r="B68">
        <v>18100</v>
      </c>
      <c r="C68" t="s">
        <v>50</v>
      </c>
      <c r="D68">
        <v>18100</v>
      </c>
      <c r="E68" t="s">
        <v>50</v>
      </c>
      <c r="F68" t="s">
        <v>24</v>
      </c>
      <c r="G68">
        <v>3184</v>
      </c>
      <c r="H68">
        <v>-203</v>
      </c>
      <c r="I68">
        <v>-5.9935045763212278</v>
      </c>
      <c r="J68">
        <v>962</v>
      </c>
      <c r="K68">
        <v>16.899999999999999</v>
      </c>
      <c r="L68">
        <v>607</v>
      </c>
      <c r="M68">
        <v>-129.54999999999995</v>
      </c>
      <c r="N68">
        <v>-17.588758400651685</v>
      </c>
      <c r="O68">
        <v>18665.5</v>
      </c>
      <c r="P68">
        <v>18100</v>
      </c>
      <c r="Q68" t="s">
        <v>50</v>
      </c>
      <c r="R68" t="s">
        <v>24</v>
      </c>
      <c r="S68">
        <v>55009</v>
      </c>
      <c r="T68">
        <v>17813</v>
      </c>
      <c r="U68">
        <v>47.889558016991074</v>
      </c>
      <c r="V68">
        <v>458534</v>
      </c>
      <c r="W68">
        <v>12.88</v>
      </c>
      <c r="X68">
        <v>2.95</v>
      </c>
      <c r="Y68">
        <v>-1.3499999999999996</v>
      </c>
      <c r="Z68">
        <v>-31.395348837209298</v>
      </c>
      <c r="AA68">
        <v>18665.5</v>
      </c>
    </row>
    <row r="69" spans="2:27" x14ac:dyDescent="0.25">
      <c r="B69">
        <v>18150</v>
      </c>
      <c r="C69" t="s">
        <v>50</v>
      </c>
      <c r="D69">
        <v>18150</v>
      </c>
      <c r="E69" t="s">
        <v>50</v>
      </c>
      <c r="F69" t="s">
        <v>24</v>
      </c>
      <c r="G69">
        <v>435</v>
      </c>
      <c r="H69">
        <v>-31</v>
      </c>
      <c r="I69">
        <v>-6.6523605150214591</v>
      </c>
      <c r="J69">
        <v>133</v>
      </c>
      <c r="K69">
        <v>15.76</v>
      </c>
      <c r="L69">
        <v>557.04999999999995</v>
      </c>
      <c r="M69">
        <v>-125.15000000000008</v>
      </c>
      <c r="N69">
        <v>-18.345060099677525</v>
      </c>
      <c r="O69">
        <v>18665.5</v>
      </c>
      <c r="P69">
        <v>18150</v>
      </c>
      <c r="Q69" t="s">
        <v>50</v>
      </c>
      <c r="R69" t="s">
        <v>24</v>
      </c>
      <c r="S69">
        <v>25793</v>
      </c>
      <c r="T69">
        <v>8419</v>
      </c>
      <c r="U69">
        <v>48.457465177851965</v>
      </c>
      <c r="V69">
        <v>362100</v>
      </c>
      <c r="W69">
        <v>11.99</v>
      </c>
      <c r="X69">
        <v>4.3</v>
      </c>
      <c r="Y69">
        <v>-0.45000000000000018</v>
      </c>
      <c r="Z69">
        <v>-9.4736842105263204</v>
      </c>
      <c r="AA69">
        <v>18665.5</v>
      </c>
    </row>
    <row r="70" spans="2:27" x14ac:dyDescent="0.25">
      <c r="B70">
        <v>18200</v>
      </c>
      <c r="C70" t="s">
        <v>50</v>
      </c>
      <c r="D70">
        <v>18200</v>
      </c>
      <c r="E70" t="s">
        <v>50</v>
      </c>
      <c r="F70" t="s">
        <v>24</v>
      </c>
      <c r="G70">
        <v>9545</v>
      </c>
      <c r="H70">
        <v>37</v>
      </c>
      <c r="I70">
        <v>0.38914598233066894</v>
      </c>
      <c r="J70">
        <v>3596</v>
      </c>
      <c r="K70">
        <v>13.96</v>
      </c>
      <c r="L70">
        <v>505</v>
      </c>
      <c r="M70">
        <v>-132</v>
      </c>
      <c r="N70">
        <v>-20.722135007849293</v>
      </c>
      <c r="O70">
        <v>18665.5</v>
      </c>
      <c r="P70">
        <v>18200</v>
      </c>
      <c r="Q70" t="s">
        <v>50</v>
      </c>
      <c r="R70" t="s">
        <v>24</v>
      </c>
      <c r="S70">
        <v>80257</v>
      </c>
      <c r="T70">
        <v>1852</v>
      </c>
      <c r="U70">
        <v>2.3620942541929724</v>
      </c>
      <c r="V70">
        <v>657006</v>
      </c>
      <c r="W70">
        <v>11.69</v>
      </c>
      <c r="X70">
        <v>3.05</v>
      </c>
      <c r="Y70">
        <v>-2.25</v>
      </c>
      <c r="Z70">
        <v>-42.452830188679243</v>
      </c>
      <c r="AA70">
        <v>18665.5</v>
      </c>
    </row>
    <row r="71" spans="2:27" x14ac:dyDescent="0.25">
      <c r="B71">
        <v>18250</v>
      </c>
      <c r="C71" t="s">
        <v>50</v>
      </c>
      <c r="D71">
        <v>18250</v>
      </c>
      <c r="E71" t="s">
        <v>50</v>
      </c>
      <c r="F71" t="s">
        <v>24</v>
      </c>
      <c r="G71">
        <v>1395</v>
      </c>
      <c r="H71">
        <v>12</v>
      </c>
      <c r="I71">
        <v>0.86767895878524948</v>
      </c>
      <c r="J71">
        <v>600</v>
      </c>
      <c r="K71">
        <v>13.45</v>
      </c>
      <c r="L71">
        <v>457.1</v>
      </c>
      <c r="M71">
        <v>-128.19999999999993</v>
      </c>
      <c r="N71">
        <v>-21.903297454296933</v>
      </c>
      <c r="O71">
        <v>18665.5</v>
      </c>
      <c r="P71">
        <v>18250</v>
      </c>
      <c r="Q71" t="s">
        <v>50</v>
      </c>
      <c r="R71" t="s">
        <v>24</v>
      </c>
      <c r="S71">
        <v>26654</v>
      </c>
      <c r="T71">
        <v>13161</v>
      </c>
      <c r="U71">
        <v>97.539464907729936</v>
      </c>
      <c r="V71">
        <v>356597</v>
      </c>
      <c r="W71">
        <v>10.48</v>
      </c>
      <c r="X71">
        <v>3.55</v>
      </c>
      <c r="Y71">
        <v>-2.25</v>
      </c>
      <c r="Z71">
        <v>-38.793103448275865</v>
      </c>
      <c r="AA71">
        <v>18665.5</v>
      </c>
    </row>
    <row r="72" spans="2:27" x14ac:dyDescent="0.25">
      <c r="B72">
        <v>18300</v>
      </c>
      <c r="C72" t="s">
        <v>50</v>
      </c>
      <c r="D72">
        <v>18300</v>
      </c>
      <c r="E72" t="s">
        <v>50</v>
      </c>
      <c r="F72" t="s">
        <v>24</v>
      </c>
      <c r="G72">
        <v>17173</v>
      </c>
      <c r="H72">
        <v>41</v>
      </c>
      <c r="I72">
        <v>0.239318234882092</v>
      </c>
      <c r="J72">
        <v>11065</v>
      </c>
      <c r="K72">
        <v>11.97</v>
      </c>
      <c r="L72">
        <v>406.05</v>
      </c>
      <c r="M72">
        <v>-132.99999999999994</v>
      </c>
      <c r="N72">
        <v>-24.673035896484546</v>
      </c>
      <c r="O72">
        <v>18665.5</v>
      </c>
      <c r="P72">
        <v>18300</v>
      </c>
      <c r="Q72" t="s">
        <v>50</v>
      </c>
      <c r="R72" t="s">
        <v>24</v>
      </c>
      <c r="S72">
        <v>90299</v>
      </c>
      <c r="T72">
        <v>19142</v>
      </c>
      <c r="U72">
        <v>26.90107789816884</v>
      </c>
      <c r="V72">
        <v>887178</v>
      </c>
      <c r="W72">
        <v>10.06</v>
      </c>
      <c r="X72">
        <v>4.8</v>
      </c>
      <c r="Y72">
        <v>-2.0499999999999998</v>
      </c>
      <c r="Z72">
        <v>-29.92700729927007</v>
      </c>
      <c r="AA72">
        <v>18665.5</v>
      </c>
    </row>
    <row r="73" spans="2:27" x14ac:dyDescent="0.25">
      <c r="B73">
        <v>18350</v>
      </c>
      <c r="C73" t="s">
        <v>50</v>
      </c>
      <c r="D73">
        <v>18350</v>
      </c>
      <c r="E73" t="s">
        <v>50</v>
      </c>
      <c r="F73" t="s">
        <v>24</v>
      </c>
      <c r="G73">
        <v>2185</v>
      </c>
      <c r="H73">
        <v>74</v>
      </c>
      <c r="I73">
        <v>3.505447655139744</v>
      </c>
      <c r="J73">
        <v>1655</v>
      </c>
      <c r="K73">
        <v>11.28</v>
      </c>
      <c r="L73">
        <v>358</v>
      </c>
      <c r="M73">
        <v>-130</v>
      </c>
      <c r="N73">
        <v>-26.639344262295083</v>
      </c>
      <c r="O73">
        <v>18665.5</v>
      </c>
      <c r="P73">
        <v>18350</v>
      </c>
      <c r="Q73" t="s">
        <v>50</v>
      </c>
      <c r="R73" t="s">
        <v>24</v>
      </c>
      <c r="S73">
        <v>43956</v>
      </c>
      <c r="T73">
        <v>23183</v>
      </c>
      <c r="U73">
        <v>111.60159822846964</v>
      </c>
      <c r="V73">
        <v>607202</v>
      </c>
      <c r="W73">
        <v>9.5299999999999994</v>
      </c>
      <c r="X73">
        <v>6.2</v>
      </c>
      <c r="Y73">
        <v>-1.6499999999999997</v>
      </c>
      <c r="Z73">
        <v>-21.019108280254773</v>
      </c>
      <c r="AA73">
        <v>18665.5</v>
      </c>
    </row>
    <row r="74" spans="2:27" x14ac:dyDescent="0.25">
      <c r="B74">
        <v>18400</v>
      </c>
      <c r="C74" t="s">
        <v>50</v>
      </c>
      <c r="D74">
        <v>18400</v>
      </c>
      <c r="E74" t="s">
        <v>50</v>
      </c>
      <c r="F74" t="s">
        <v>24</v>
      </c>
      <c r="G74">
        <v>9719</v>
      </c>
      <c r="H74">
        <v>-105</v>
      </c>
      <c r="I74">
        <v>-1.0688110749185669</v>
      </c>
      <c r="J74">
        <v>20490</v>
      </c>
      <c r="K74">
        <v>10.48</v>
      </c>
      <c r="L74">
        <v>310</v>
      </c>
      <c r="M74">
        <v>-131.64999999999998</v>
      </c>
      <c r="N74">
        <v>-29.808672025359449</v>
      </c>
      <c r="O74">
        <v>18665.5</v>
      </c>
      <c r="P74">
        <v>18400</v>
      </c>
      <c r="Q74" t="s">
        <v>50</v>
      </c>
      <c r="R74" t="s">
        <v>24</v>
      </c>
      <c r="S74">
        <v>101680</v>
      </c>
      <c r="T74">
        <v>47211</v>
      </c>
      <c r="U74">
        <v>86.674989443536688</v>
      </c>
      <c r="V74">
        <v>1313479</v>
      </c>
      <c r="W74">
        <v>9.16</v>
      </c>
      <c r="X74">
        <v>8.6999999999999993</v>
      </c>
      <c r="Y74">
        <v>-0.85000000000000142</v>
      </c>
      <c r="Z74">
        <v>-8.9005235602094377</v>
      </c>
      <c r="AA74">
        <v>18665.5</v>
      </c>
    </row>
    <row r="75" spans="2:27" x14ac:dyDescent="0.25">
      <c r="B75">
        <v>18450</v>
      </c>
      <c r="C75" t="s">
        <v>50</v>
      </c>
      <c r="D75">
        <v>18450</v>
      </c>
      <c r="E75" t="s">
        <v>50</v>
      </c>
      <c r="F75" t="s">
        <v>24</v>
      </c>
      <c r="G75">
        <v>1407</v>
      </c>
      <c r="H75">
        <v>103</v>
      </c>
      <c r="I75">
        <v>7.8987730061349692</v>
      </c>
      <c r="J75">
        <v>8047</v>
      </c>
      <c r="K75">
        <v>10.23</v>
      </c>
      <c r="L75">
        <v>265.64999999999998</v>
      </c>
      <c r="M75">
        <v>-127.45000000000005</v>
      </c>
      <c r="N75">
        <v>-32.421775629610792</v>
      </c>
      <c r="O75">
        <v>18665.5</v>
      </c>
      <c r="P75">
        <v>18450</v>
      </c>
      <c r="Q75" t="s">
        <v>50</v>
      </c>
      <c r="R75" t="s">
        <v>24</v>
      </c>
      <c r="S75">
        <v>52667</v>
      </c>
      <c r="T75">
        <v>34699</v>
      </c>
      <c r="U75">
        <v>193.11553873552984</v>
      </c>
      <c r="V75">
        <v>912175</v>
      </c>
      <c r="W75">
        <v>8.89</v>
      </c>
      <c r="X75">
        <v>12.8</v>
      </c>
      <c r="Y75">
        <v>1.4000000000000004</v>
      </c>
      <c r="Z75">
        <v>12.280701754385968</v>
      </c>
      <c r="AA75">
        <v>18665.5</v>
      </c>
    </row>
    <row r="76" spans="2:27" x14ac:dyDescent="0.25">
      <c r="B76">
        <v>18500</v>
      </c>
      <c r="C76" t="s">
        <v>50</v>
      </c>
      <c r="D76">
        <v>18500</v>
      </c>
      <c r="E76" t="s">
        <v>50</v>
      </c>
      <c r="F76" t="s">
        <v>24</v>
      </c>
      <c r="G76">
        <v>24135</v>
      </c>
      <c r="H76">
        <v>-498</v>
      </c>
      <c r="I76">
        <v>-2.0216782365119963</v>
      </c>
      <c r="J76">
        <v>186218</v>
      </c>
      <c r="K76">
        <v>9.49</v>
      </c>
      <c r="L76">
        <v>220</v>
      </c>
      <c r="M76">
        <v>-126.64999999999998</v>
      </c>
      <c r="N76">
        <v>-36.535410356267121</v>
      </c>
      <c r="O76">
        <v>18665.5</v>
      </c>
      <c r="P76">
        <v>18500</v>
      </c>
      <c r="Q76" t="s">
        <v>50</v>
      </c>
      <c r="R76" t="s">
        <v>24</v>
      </c>
      <c r="S76">
        <v>132224</v>
      </c>
      <c r="T76">
        <v>45907</v>
      </c>
      <c r="U76">
        <v>53.184193148510722</v>
      </c>
      <c r="V76">
        <v>1898848</v>
      </c>
      <c r="W76">
        <v>8.76</v>
      </c>
      <c r="X76">
        <v>19.05</v>
      </c>
      <c r="Y76">
        <v>4.3000000000000007</v>
      </c>
      <c r="Z76">
        <v>29.152542372881364</v>
      </c>
      <c r="AA76">
        <v>18665.5</v>
      </c>
    </row>
    <row r="77" spans="2:27" x14ac:dyDescent="0.25">
      <c r="B77">
        <v>18550</v>
      </c>
      <c r="C77" t="s">
        <v>50</v>
      </c>
      <c r="D77">
        <v>18550</v>
      </c>
      <c r="E77" t="s">
        <v>50</v>
      </c>
      <c r="F77" t="s">
        <v>24</v>
      </c>
      <c r="G77">
        <v>4238</v>
      </c>
      <c r="H77">
        <v>2736</v>
      </c>
      <c r="I77">
        <v>182.15712383488679</v>
      </c>
      <c r="J77">
        <v>95112</v>
      </c>
      <c r="K77">
        <v>9.3699999999999992</v>
      </c>
      <c r="L77">
        <v>180.5</v>
      </c>
      <c r="M77">
        <v>-120.25</v>
      </c>
      <c r="N77">
        <v>-39.983374896093096</v>
      </c>
      <c r="O77">
        <v>18665.5</v>
      </c>
      <c r="P77">
        <v>18550</v>
      </c>
      <c r="Q77" t="s">
        <v>50</v>
      </c>
      <c r="R77" t="s">
        <v>24</v>
      </c>
      <c r="S77">
        <v>43195</v>
      </c>
      <c r="T77">
        <v>21543</v>
      </c>
      <c r="U77">
        <v>99.496582301865885</v>
      </c>
      <c r="V77">
        <v>1174867</v>
      </c>
      <c r="W77">
        <v>8.44</v>
      </c>
      <c r="X77">
        <v>27.55</v>
      </c>
      <c r="Y77">
        <v>8.75</v>
      </c>
      <c r="Z77">
        <v>46.542553191489361</v>
      </c>
      <c r="AA77">
        <v>18665.5</v>
      </c>
    </row>
    <row r="78" spans="2:27" x14ac:dyDescent="0.25">
      <c r="B78">
        <v>18600</v>
      </c>
      <c r="C78" t="s">
        <v>50</v>
      </c>
      <c r="D78">
        <v>18600</v>
      </c>
      <c r="E78" t="s">
        <v>50</v>
      </c>
      <c r="F78" t="s">
        <v>24</v>
      </c>
      <c r="G78">
        <v>33909</v>
      </c>
      <c r="H78">
        <v>12974</v>
      </c>
      <c r="I78">
        <v>61.972772868402195</v>
      </c>
      <c r="J78">
        <v>825762</v>
      </c>
      <c r="K78">
        <v>8.91</v>
      </c>
      <c r="L78">
        <v>141.4</v>
      </c>
      <c r="M78">
        <v>-115.65</v>
      </c>
      <c r="N78">
        <v>-44.991246839136359</v>
      </c>
      <c r="O78">
        <v>18665.5</v>
      </c>
      <c r="P78">
        <v>18600</v>
      </c>
      <c r="Q78" t="s">
        <v>50</v>
      </c>
      <c r="R78" t="s">
        <v>24</v>
      </c>
      <c r="S78">
        <v>107254</v>
      </c>
      <c r="T78">
        <v>26757</v>
      </c>
      <c r="U78">
        <v>33.239748065145285</v>
      </c>
      <c r="V78">
        <v>2903956</v>
      </c>
      <c r="W78">
        <v>8.25</v>
      </c>
      <c r="X78">
        <v>39.65</v>
      </c>
      <c r="Y78">
        <v>14.799999999999995</v>
      </c>
      <c r="Z78">
        <v>59.557344064386307</v>
      </c>
      <c r="AA78">
        <v>18665.5</v>
      </c>
    </row>
    <row r="79" spans="2:27" x14ac:dyDescent="0.25">
      <c r="B79">
        <v>18650</v>
      </c>
      <c r="C79" t="s">
        <v>50</v>
      </c>
      <c r="D79">
        <v>18650</v>
      </c>
      <c r="E79" t="s">
        <v>50</v>
      </c>
      <c r="F79" t="s">
        <v>24</v>
      </c>
      <c r="G79">
        <v>27652</v>
      </c>
      <c r="H79">
        <v>24631</v>
      </c>
      <c r="I79">
        <v>815.32605097649787</v>
      </c>
      <c r="J79">
        <v>1038294</v>
      </c>
      <c r="K79">
        <v>8.81</v>
      </c>
      <c r="L79">
        <v>109.1</v>
      </c>
      <c r="M79">
        <v>-106.20000000000002</v>
      </c>
      <c r="N79">
        <v>-49.326521133302379</v>
      </c>
      <c r="O79">
        <v>18665.5</v>
      </c>
      <c r="P79">
        <v>18650</v>
      </c>
      <c r="Q79" t="s">
        <v>50</v>
      </c>
      <c r="R79" t="s">
        <v>24</v>
      </c>
      <c r="S79">
        <v>49700</v>
      </c>
      <c r="T79">
        <v>24243</v>
      </c>
      <c r="U79">
        <v>95.231174136779686</v>
      </c>
      <c r="V79">
        <v>2663429</v>
      </c>
      <c r="W79">
        <v>8.08</v>
      </c>
      <c r="X79">
        <v>56.05</v>
      </c>
      <c r="Y79">
        <v>22.799999999999997</v>
      </c>
      <c r="Z79">
        <v>68.571428571428555</v>
      </c>
      <c r="AA79">
        <v>18665.5</v>
      </c>
    </row>
    <row r="80" spans="2:27" x14ac:dyDescent="0.25">
      <c r="B80">
        <v>18700</v>
      </c>
      <c r="C80" t="s">
        <v>50</v>
      </c>
      <c r="D80">
        <v>18700</v>
      </c>
      <c r="E80" t="s">
        <v>50</v>
      </c>
      <c r="F80" t="s">
        <v>24</v>
      </c>
      <c r="G80">
        <v>169383</v>
      </c>
      <c r="H80">
        <v>130766</v>
      </c>
      <c r="I80">
        <v>338.62288629360125</v>
      </c>
      <c r="J80">
        <v>4067869</v>
      </c>
      <c r="K80">
        <v>8.56</v>
      </c>
      <c r="L80">
        <v>79.900000000000006</v>
      </c>
      <c r="M80">
        <v>-96.7</v>
      </c>
      <c r="N80">
        <v>-54.756511891279722</v>
      </c>
      <c r="O80">
        <v>18665.5</v>
      </c>
      <c r="P80">
        <v>18700</v>
      </c>
      <c r="Q80" t="s">
        <v>50</v>
      </c>
      <c r="R80" t="s">
        <v>24</v>
      </c>
      <c r="S80">
        <v>150118</v>
      </c>
      <c r="T80">
        <v>59213</v>
      </c>
      <c r="U80">
        <v>65.137231175402889</v>
      </c>
      <c r="V80">
        <v>5713832</v>
      </c>
      <c r="W80">
        <v>7.94</v>
      </c>
      <c r="X80">
        <v>77</v>
      </c>
      <c r="Y80">
        <v>33</v>
      </c>
      <c r="Z80">
        <v>75</v>
      </c>
      <c r="AA80">
        <v>18665.5</v>
      </c>
    </row>
    <row r="81" spans="2:27" x14ac:dyDescent="0.25">
      <c r="B81">
        <v>18750</v>
      </c>
      <c r="C81" t="s">
        <v>50</v>
      </c>
      <c r="D81">
        <v>18750</v>
      </c>
      <c r="E81" t="s">
        <v>50</v>
      </c>
      <c r="F81" t="s">
        <v>24</v>
      </c>
      <c r="G81">
        <v>101127</v>
      </c>
      <c r="H81">
        <v>80463</v>
      </c>
      <c r="I81">
        <v>389.38734030197446</v>
      </c>
      <c r="J81">
        <v>2763969</v>
      </c>
      <c r="K81">
        <v>8.49</v>
      </c>
      <c r="L81">
        <v>57.1</v>
      </c>
      <c r="M81">
        <v>-84.25</v>
      </c>
      <c r="N81">
        <v>-59.603820304209407</v>
      </c>
      <c r="O81">
        <v>18665.5</v>
      </c>
      <c r="P81">
        <v>18750</v>
      </c>
      <c r="Q81" t="s">
        <v>50</v>
      </c>
      <c r="R81" t="s">
        <v>24</v>
      </c>
      <c r="S81">
        <v>39138</v>
      </c>
      <c r="T81">
        <v>-295</v>
      </c>
      <c r="U81">
        <v>-0.74810437958055431</v>
      </c>
      <c r="V81">
        <v>2271072</v>
      </c>
      <c r="W81">
        <v>7.76</v>
      </c>
      <c r="X81">
        <v>104.1</v>
      </c>
      <c r="Y81">
        <v>45.45</v>
      </c>
      <c r="Z81">
        <v>77.49360613810741</v>
      </c>
      <c r="AA81">
        <v>18665.5</v>
      </c>
    </row>
    <row r="82" spans="2:27" x14ac:dyDescent="0.25">
      <c r="B82">
        <v>18800</v>
      </c>
      <c r="C82" t="s">
        <v>50</v>
      </c>
      <c r="D82">
        <v>18800</v>
      </c>
      <c r="E82" t="s">
        <v>50</v>
      </c>
      <c r="F82" t="s">
        <v>24</v>
      </c>
      <c r="G82">
        <v>286263</v>
      </c>
      <c r="H82">
        <v>77603</v>
      </c>
      <c r="I82">
        <v>37.19112431707083</v>
      </c>
      <c r="J82">
        <v>3546971</v>
      </c>
      <c r="K82">
        <v>8.35</v>
      </c>
      <c r="L82">
        <v>38.549999999999997</v>
      </c>
      <c r="M82">
        <v>-70</v>
      </c>
      <c r="N82">
        <v>-64.486411791801018</v>
      </c>
      <c r="O82">
        <v>18665.5</v>
      </c>
      <c r="P82">
        <v>18800</v>
      </c>
      <c r="Q82" t="s">
        <v>50</v>
      </c>
      <c r="R82" t="s">
        <v>24</v>
      </c>
      <c r="S82">
        <v>151099</v>
      </c>
      <c r="T82">
        <v>-51490</v>
      </c>
      <c r="U82">
        <v>-25.415990009329231</v>
      </c>
      <c r="V82">
        <v>2107692</v>
      </c>
      <c r="W82">
        <v>7.72</v>
      </c>
      <c r="X82">
        <v>136</v>
      </c>
      <c r="Y82">
        <v>59.5</v>
      </c>
      <c r="Z82">
        <v>77.777777777777786</v>
      </c>
      <c r="AA82">
        <v>18665.5</v>
      </c>
    </row>
    <row r="83" spans="2:27" x14ac:dyDescent="0.25">
      <c r="B83">
        <v>18850</v>
      </c>
      <c r="C83" t="s">
        <v>50</v>
      </c>
      <c r="D83">
        <v>18850</v>
      </c>
      <c r="E83" t="s">
        <v>50</v>
      </c>
      <c r="F83" t="s">
        <v>24</v>
      </c>
      <c r="G83">
        <v>104003</v>
      </c>
      <c r="H83">
        <v>47183</v>
      </c>
      <c r="I83">
        <v>83.039422738472368</v>
      </c>
      <c r="J83">
        <v>1623546</v>
      </c>
      <c r="K83">
        <v>8.3699999999999992</v>
      </c>
      <c r="L83">
        <v>25.8</v>
      </c>
      <c r="M83">
        <v>-55.650000000000006</v>
      </c>
      <c r="N83">
        <v>-68.324125230202583</v>
      </c>
      <c r="O83">
        <v>18665.5</v>
      </c>
      <c r="P83">
        <v>18850</v>
      </c>
      <c r="Q83" t="s">
        <v>50</v>
      </c>
      <c r="R83" t="s">
        <v>24</v>
      </c>
      <c r="S83">
        <v>34420</v>
      </c>
      <c r="T83">
        <v>-6284</v>
      </c>
      <c r="U83">
        <v>-15.438286163522012</v>
      </c>
      <c r="V83">
        <v>393436</v>
      </c>
      <c r="W83">
        <v>7.28</v>
      </c>
      <c r="X83">
        <v>171.85</v>
      </c>
      <c r="Y83">
        <v>73.55</v>
      </c>
      <c r="Z83">
        <v>74.821973550356049</v>
      </c>
      <c r="AA83">
        <v>18665.5</v>
      </c>
    </row>
    <row r="84" spans="2:27" x14ac:dyDescent="0.25">
      <c r="B84">
        <v>18900</v>
      </c>
      <c r="C84" t="s">
        <v>50</v>
      </c>
      <c r="D84">
        <v>18900</v>
      </c>
      <c r="E84" t="s">
        <v>50</v>
      </c>
      <c r="F84" t="s">
        <v>24</v>
      </c>
      <c r="G84">
        <v>178621</v>
      </c>
      <c r="H84">
        <v>35511</v>
      </c>
      <c r="I84">
        <v>24.81377961009014</v>
      </c>
      <c r="J84">
        <v>2036806</v>
      </c>
      <c r="K84">
        <v>8.33</v>
      </c>
      <c r="L84">
        <v>16.25</v>
      </c>
      <c r="M84">
        <v>-42.35</v>
      </c>
      <c r="N84">
        <v>-72.269624573378849</v>
      </c>
      <c r="O84">
        <v>18665.5</v>
      </c>
      <c r="P84">
        <v>18900</v>
      </c>
      <c r="Q84" t="s">
        <v>50</v>
      </c>
      <c r="R84" t="s">
        <v>24</v>
      </c>
      <c r="S84">
        <v>61179</v>
      </c>
      <c r="T84">
        <v>-18151</v>
      </c>
      <c r="U84">
        <v>-22.880373124921213</v>
      </c>
      <c r="V84">
        <v>545880</v>
      </c>
      <c r="W84">
        <v>7</v>
      </c>
      <c r="X84">
        <v>212.75</v>
      </c>
      <c r="Y84">
        <v>86.9</v>
      </c>
      <c r="Z84">
        <v>69.05045689312675</v>
      </c>
      <c r="AA84">
        <v>18665.5</v>
      </c>
    </row>
    <row r="85" spans="2:27" x14ac:dyDescent="0.25">
      <c r="B85">
        <v>18950</v>
      </c>
      <c r="C85" t="s">
        <v>50</v>
      </c>
      <c r="D85">
        <v>18950</v>
      </c>
      <c r="E85" t="s">
        <v>50</v>
      </c>
      <c r="F85" t="s">
        <v>24</v>
      </c>
      <c r="G85">
        <v>71556</v>
      </c>
      <c r="H85">
        <v>34535</v>
      </c>
      <c r="I85">
        <v>93.284892358391204</v>
      </c>
      <c r="J85">
        <v>1091399</v>
      </c>
      <c r="K85">
        <v>8.3800000000000008</v>
      </c>
      <c r="L85">
        <v>10.1</v>
      </c>
      <c r="M85">
        <v>-30.6</v>
      </c>
      <c r="N85">
        <v>-75.18427518427518</v>
      </c>
      <c r="O85">
        <v>18665.5</v>
      </c>
      <c r="P85">
        <v>18950</v>
      </c>
      <c r="Q85" t="s">
        <v>50</v>
      </c>
      <c r="R85" t="s">
        <v>24</v>
      </c>
      <c r="S85">
        <v>8117</v>
      </c>
      <c r="T85">
        <v>-733</v>
      </c>
      <c r="U85">
        <v>-8.2824858757062145</v>
      </c>
      <c r="V85">
        <v>56496</v>
      </c>
      <c r="W85">
        <v>6.53</v>
      </c>
      <c r="X85">
        <v>256.95</v>
      </c>
      <c r="Y85">
        <v>99.799999999999983</v>
      </c>
      <c r="Z85">
        <v>63.506204263442555</v>
      </c>
      <c r="AA85">
        <v>18665.5</v>
      </c>
    </row>
    <row r="86" spans="2:27" x14ac:dyDescent="0.25">
      <c r="B86">
        <v>19000</v>
      </c>
      <c r="C86" t="s">
        <v>50</v>
      </c>
      <c r="D86">
        <v>19000</v>
      </c>
      <c r="E86" t="s">
        <v>50</v>
      </c>
      <c r="F86" t="s">
        <v>24</v>
      </c>
      <c r="G86">
        <v>200430</v>
      </c>
      <c r="H86">
        <v>59306</v>
      </c>
      <c r="I86">
        <v>42.024035599897971</v>
      </c>
      <c r="J86">
        <v>2105953</v>
      </c>
      <c r="K86">
        <v>8.68</v>
      </c>
      <c r="L86">
        <v>6.9</v>
      </c>
      <c r="M86">
        <v>-20.100000000000001</v>
      </c>
      <c r="N86">
        <v>-74.444444444444443</v>
      </c>
      <c r="O86">
        <v>18665.5</v>
      </c>
      <c r="P86">
        <v>19000</v>
      </c>
      <c r="Q86" t="s">
        <v>50</v>
      </c>
      <c r="R86" t="s">
        <v>24</v>
      </c>
      <c r="S86">
        <v>32858</v>
      </c>
      <c r="T86">
        <v>-5893</v>
      </c>
      <c r="U86">
        <v>-15.207349487755154</v>
      </c>
      <c r="V86">
        <v>139764</v>
      </c>
      <c r="W86">
        <v>6.48</v>
      </c>
      <c r="X86">
        <v>304.85000000000002</v>
      </c>
      <c r="Y86">
        <v>110.95000000000002</v>
      </c>
      <c r="Z86">
        <v>57.220216606498198</v>
      </c>
      <c r="AA86">
        <v>18665.5</v>
      </c>
    </row>
    <row r="87" spans="2:27" x14ac:dyDescent="0.25">
      <c r="B87">
        <v>19050</v>
      </c>
      <c r="C87" t="s">
        <v>50</v>
      </c>
      <c r="D87">
        <v>19050</v>
      </c>
      <c r="E87" t="s">
        <v>50</v>
      </c>
      <c r="F87" t="s">
        <v>24</v>
      </c>
      <c r="G87">
        <v>66652</v>
      </c>
      <c r="H87">
        <v>23086</v>
      </c>
      <c r="I87">
        <v>52.990864435569023</v>
      </c>
      <c r="J87">
        <v>939941</v>
      </c>
      <c r="K87">
        <v>8.91</v>
      </c>
      <c r="L87">
        <v>4.55</v>
      </c>
      <c r="M87">
        <v>-12.4</v>
      </c>
      <c r="N87">
        <v>-73.156342182890853</v>
      </c>
      <c r="O87">
        <v>18665.5</v>
      </c>
      <c r="P87">
        <v>19050</v>
      </c>
      <c r="Q87" t="s">
        <v>50</v>
      </c>
      <c r="R87" t="s">
        <v>24</v>
      </c>
      <c r="S87">
        <v>2241</v>
      </c>
      <c r="T87">
        <v>-339</v>
      </c>
      <c r="U87">
        <v>-13.13953488372093</v>
      </c>
      <c r="V87">
        <v>6390</v>
      </c>
      <c r="W87">
        <v>0</v>
      </c>
      <c r="X87">
        <v>350.8</v>
      </c>
      <c r="Y87">
        <v>117.3</v>
      </c>
      <c r="Z87">
        <v>50.235546038543902</v>
      </c>
      <c r="AA87">
        <v>18665.5</v>
      </c>
    </row>
    <row r="88" spans="2:27" x14ac:dyDescent="0.25">
      <c r="B88">
        <v>19100</v>
      </c>
      <c r="C88" t="s">
        <v>50</v>
      </c>
      <c r="D88">
        <v>19100</v>
      </c>
      <c r="E88" t="s">
        <v>50</v>
      </c>
      <c r="F88" t="s">
        <v>24</v>
      </c>
      <c r="G88">
        <v>116825</v>
      </c>
      <c r="H88">
        <v>40899</v>
      </c>
      <c r="I88">
        <v>53.866923056660433</v>
      </c>
      <c r="J88">
        <v>1118655</v>
      </c>
      <c r="K88">
        <v>9.31</v>
      </c>
      <c r="L88">
        <v>3.3</v>
      </c>
      <c r="M88">
        <v>-7.5000000000000009</v>
      </c>
      <c r="N88">
        <v>-69.444444444444457</v>
      </c>
      <c r="O88">
        <v>18665.5</v>
      </c>
      <c r="P88">
        <v>19100</v>
      </c>
      <c r="Q88" t="s">
        <v>50</v>
      </c>
      <c r="R88" t="s">
        <v>24</v>
      </c>
      <c r="S88">
        <v>2186</v>
      </c>
      <c r="T88">
        <v>-2495</v>
      </c>
      <c r="U88">
        <v>-53.300576799829095</v>
      </c>
      <c r="V88">
        <v>11952</v>
      </c>
      <c r="W88">
        <v>0</v>
      </c>
      <c r="X88">
        <v>401.75</v>
      </c>
      <c r="Y88">
        <v>123.5</v>
      </c>
      <c r="Z88">
        <v>44.384546271338728</v>
      </c>
      <c r="AA88">
        <v>18665.5</v>
      </c>
    </row>
    <row r="89" spans="2:27" x14ac:dyDescent="0.25">
      <c r="B89">
        <v>19150</v>
      </c>
      <c r="C89" t="s">
        <v>50</v>
      </c>
      <c r="D89">
        <v>19150</v>
      </c>
      <c r="E89" t="s">
        <v>50</v>
      </c>
      <c r="F89" t="s">
        <v>24</v>
      </c>
      <c r="G89">
        <v>64744</v>
      </c>
      <c r="H89">
        <v>31268</v>
      </c>
      <c r="I89">
        <v>93.404229896044924</v>
      </c>
      <c r="J89">
        <v>515475</v>
      </c>
      <c r="K89">
        <v>9.82</v>
      </c>
      <c r="L89">
        <v>2.6</v>
      </c>
      <c r="M89">
        <v>-4.1999999999999993</v>
      </c>
      <c r="N89">
        <v>-61.764705882352935</v>
      </c>
      <c r="O89">
        <v>18665.5</v>
      </c>
      <c r="P89">
        <v>19150</v>
      </c>
      <c r="Q89" t="s">
        <v>50</v>
      </c>
      <c r="R89" t="s">
        <v>24</v>
      </c>
      <c r="S89">
        <v>356</v>
      </c>
      <c r="T89">
        <v>-201</v>
      </c>
      <c r="U89">
        <v>-36.086175942549374</v>
      </c>
      <c r="V89">
        <v>798</v>
      </c>
      <c r="W89">
        <v>0</v>
      </c>
      <c r="X89">
        <v>448.95</v>
      </c>
      <c r="Y89">
        <v>127</v>
      </c>
      <c r="Z89">
        <v>39.447119117875445</v>
      </c>
      <c r="AA89">
        <v>18665.5</v>
      </c>
    </row>
    <row r="90" spans="2:27" x14ac:dyDescent="0.25">
      <c r="B90">
        <v>19200</v>
      </c>
      <c r="C90" t="s">
        <v>50</v>
      </c>
      <c r="D90">
        <v>19200</v>
      </c>
      <c r="E90" t="s">
        <v>50</v>
      </c>
      <c r="F90" t="s">
        <v>24</v>
      </c>
      <c r="G90">
        <v>127095</v>
      </c>
      <c r="H90">
        <v>38080</v>
      </c>
      <c r="I90">
        <v>42.779306858394655</v>
      </c>
      <c r="J90">
        <v>913107</v>
      </c>
      <c r="K90">
        <v>10.6</v>
      </c>
      <c r="L90">
        <v>2.4500000000000002</v>
      </c>
      <c r="M90">
        <v>-2.4500000000000002</v>
      </c>
      <c r="N90">
        <v>-50</v>
      </c>
      <c r="O90">
        <v>18665.5</v>
      </c>
      <c r="P90">
        <v>19200</v>
      </c>
      <c r="Q90" t="s">
        <v>50</v>
      </c>
      <c r="R90" t="s">
        <v>24</v>
      </c>
      <c r="S90">
        <v>2670</v>
      </c>
      <c r="T90">
        <v>-308</v>
      </c>
      <c r="U90">
        <v>-10.342511752854264</v>
      </c>
      <c r="V90">
        <v>3945</v>
      </c>
      <c r="W90">
        <v>0</v>
      </c>
      <c r="X90">
        <v>498.15</v>
      </c>
      <c r="Y90">
        <v>126.95</v>
      </c>
      <c r="Z90">
        <v>34.19989224137931</v>
      </c>
      <c r="AA90">
        <v>18665.5</v>
      </c>
    </row>
    <row r="91" spans="2:27" x14ac:dyDescent="0.25">
      <c r="B91">
        <v>19250</v>
      </c>
      <c r="C91" t="s">
        <v>50</v>
      </c>
      <c r="D91">
        <v>19250</v>
      </c>
      <c r="E91" t="s">
        <v>50</v>
      </c>
      <c r="F91" t="s">
        <v>24</v>
      </c>
      <c r="G91">
        <v>24680</v>
      </c>
      <c r="H91">
        <v>3658</v>
      </c>
      <c r="I91">
        <v>17.400818190467131</v>
      </c>
      <c r="J91">
        <v>274936</v>
      </c>
      <c r="K91">
        <v>11.19</v>
      </c>
      <c r="L91">
        <v>2.1</v>
      </c>
      <c r="M91">
        <v>-1.5499999999999998</v>
      </c>
      <c r="N91">
        <v>-42.465753424657535</v>
      </c>
      <c r="O91">
        <v>18665.5</v>
      </c>
      <c r="P91">
        <v>19250</v>
      </c>
      <c r="Q91" t="s">
        <v>50</v>
      </c>
      <c r="R91" t="s">
        <v>24</v>
      </c>
      <c r="S91">
        <v>224</v>
      </c>
      <c r="T91">
        <v>83</v>
      </c>
      <c r="U91">
        <v>58.865248226950357</v>
      </c>
      <c r="V91">
        <v>437</v>
      </c>
      <c r="W91">
        <v>0</v>
      </c>
      <c r="X91">
        <v>549</v>
      </c>
      <c r="Y91">
        <v>130.55000000000001</v>
      </c>
      <c r="Z91">
        <v>31.198470546062858</v>
      </c>
      <c r="AA91">
        <v>18665.5</v>
      </c>
    </row>
    <row r="92" spans="2:27" x14ac:dyDescent="0.25">
      <c r="B92">
        <v>19300</v>
      </c>
      <c r="C92" t="s">
        <v>50</v>
      </c>
      <c r="D92">
        <v>19300</v>
      </c>
      <c r="E92" t="s">
        <v>50</v>
      </c>
      <c r="F92" t="s">
        <v>24</v>
      </c>
      <c r="G92">
        <v>104226</v>
      </c>
      <c r="H92">
        <v>15031</v>
      </c>
      <c r="I92">
        <v>16.85184147093447</v>
      </c>
      <c r="J92">
        <v>719718</v>
      </c>
      <c r="K92">
        <v>11.89</v>
      </c>
      <c r="L92">
        <v>1.95</v>
      </c>
      <c r="M92">
        <v>-1.1499999999999999</v>
      </c>
      <c r="N92">
        <v>-37.096774193548391</v>
      </c>
      <c r="O92">
        <v>18665.5</v>
      </c>
      <c r="P92">
        <v>19300</v>
      </c>
      <c r="Q92" t="s">
        <v>50</v>
      </c>
      <c r="R92" t="s">
        <v>24</v>
      </c>
      <c r="S92">
        <v>1159</v>
      </c>
      <c r="T92">
        <v>-240</v>
      </c>
      <c r="U92">
        <v>-17.155110793423873</v>
      </c>
      <c r="V92">
        <v>749</v>
      </c>
      <c r="W92">
        <v>0</v>
      </c>
      <c r="X92">
        <v>598.54999999999995</v>
      </c>
      <c r="Y92">
        <v>127.69999999999992</v>
      </c>
      <c r="Z92">
        <v>27.121163852606973</v>
      </c>
      <c r="AA92">
        <v>18665.5</v>
      </c>
    </row>
    <row r="93" spans="2:27" x14ac:dyDescent="0.25">
      <c r="B93">
        <v>19350</v>
      </c>
      <c r="C93" t="s">
        <v>50</v>
      </c>
      <c r="D93">
        <v>19350</v>
      </c>
      <c r="E93" t="s">
        <v>50</v>
      </c>
      <c r="F93" t="s">
        <v>24</v>
      </c>
      <c r="G93">
        <v>17957</v>
      </c>
      <c r="H93">
        <v>-6125</v>
      </c>
      <c r="I93">
        <v>-25.433934058633003</v>
      </c>
      <c r="J93">
        <v>174309</v>
      </c>
      <c r="K93">
        <v>12.76</v>
      </c>
      <c r="L93">
        <v>2</v>
      </c>
      <c r="M93">
        <v>-0.64999999999999991</v>
      </c>
      <c r="N93">
        <v>-24.528301886792452</v>
      </c>
      <c r="O93">
        <v>18665.5</v>
      </c>
      <c r="P93">
        <v>19350</v>
      </c>
      <c r="Q93" t="s">
        <v>50</v>
      </c>
      <c r="R93" t="s">
        <v>24</v>
      </c>
      <c r="S93">
        <v>47</v>
      </c>
      <c r="T93">
        <v>-8</v>
      </c>
      <c r="U93">
        <v>-14.545454545454543</v>
      </c>
      <c r="V93">
        <v>51</v>
      </c>
      <c r="W93">
        <v>0</v>
      </c>
      <c r="X93">
        <v>648</v>
      </c>
      <c r="Y93">
        <v>143.14999999999998</v>
      </c>
      <c r="Z93">
        <v>28.354956917896398</v>
      </c>
      <c r="AA93">
        <v>18665.5</v>
      </c>
    </row>
    <row r="94" spans="2:27" x14ac:dyDescent="0.25">
      <c r="B94">
        <v>19400</v>
      </c>
      <c r="C94" t="s">
        <v>50</v>
      </c>
      <c r="D94">
        <v>19400</v>
      </c>
      <c r="E94" t="s">
        <v>50</v>
      </c>
      <c r="F94" t="s">
        <v>24</v>
      </c>
      <c r="G94">
        <v>48356</v>
      </c>
      <c r="H94">
        <v>6282</v>
      </c>
      <c r="I94">
        <v>14.930836145838285</v>
      </c>
      <c r="J94">
        <v>424238</v>
      </c>
      <c r="K94">
        <v>13.66</v>
      </c>
      <c r="L94">
        <v>2.1</v>
      </c>
      <c r="M94">
        <v>-0.25</v>
      </c>
      <c r="N94">
        <v>-10.638297872340424</v>
      </c>
      <c r="O94">
        <v>18665.5</v>
      </c>
      <c r="P94">
        <v>19400</v>
      </c>
      <c r="Q94" t="s">
        <v>50</v>
      </c>
      <c r="R94" t="s">
        <v>24</v>
      </c>
      <c r="S94">
        <v>174</v>
      </c>
      <c r="T94">
        <v>-46</v>
      </c>
      <c r="U94">
        <v>-20.90909090909091</v>
      </c>
      <c r="V94">
        <v>412</v>
      </c>
      <c r="W94">
        <v>0</v>
      </c>
      <c r="X94">
        <v>693.45</v>
      </c>
      <c r="Y94">
        <v>122</v>
      </c>
      <c r="Z94">
        <v>21.349199405022308</v>
      </c>
      <c r="AA94">
        <v>18665.5</v>
      </c>
    </row>
    <row r="95" spans="2:27" x14ac:dyDescent="0.25">
      <c r="B95">
        <v>19450</v>
      </c>
      <c r="C95" t="s">
        <v>50</v>
      </c>
      <c r="D95">
        <v>19450</v>
      </c>
      <c r="E95" t="s">
        <v>50</v>
      </c>
      <c r="F95" t="s">
        <v>24</v>
      </c>
      <c r="G95">
        <v>8829</v>
      </c>
      <c r="H95">
        <v>999</v>
      </c>
      <c r="I95">
        <v>12.758620689655173</v>
      </c>
      <c r="J95">
        <v>99479</v>
      </c>
      <c r="K95">
        <v>14.1</v>
      </c>
      <c r="L95">
        <v>1.75</v>
      </c>
      <c r="M95">
        <v>-0.29999999999999982</v>
      </c>
      <c r="N95">
        <v>-14.634146341463408</v>
      </c>
      <c r="O95">
        <v>18665.5</v>
      </c>
      <c r="P95">
        <v>19450</v>
      </c>
      <c r="Q95" t="s">
        <v>50</v>
      </c>
      <c r="R95" t="s">
        <v>24</v>
      </c>
      <c r="S95">
        <v>51</v>
      </c>
      <c r="T95">
        <v>2</v>
      </c>
      <c r="U95">
        <v>4.0816326530612246</v>
      </c>
      <c r="V95">
        <v>17</v>
      </c>
      <c r="W95">
        <v>0</v>
      </c>
      <c r="X95">
        <v>736.3</v>
      </c>
      <c r="Y95">
        <v>176.14999999999998</v>
      </c>
      <c r="Z95">
        <v>31.446933857002584</v>
      </c>
      <c r="AA95">
        <v>18665.5</v>
      </c>
    </row>
    <row r="96" spans="2:27" x14ac:dyDescent="0.25">
      <c r="B96">
        <v>19500</v>
      </c>
      <c r="C96" t="s">
        <v>50</v>
      </c>
      <c r="D96">
        <v>19500</v>
      </c>
      <c r="E96" t="s">
        <v>50</v>
      </c>
      <c r="F96" t="s">
        <v>24</v>
      </c>
      <c r="G96">
        <v>151289</v>
      </c>
      <c r="H96">
        <v>31448</v>
      </c>
      <c r="I96">
        <v>26.24143657012208</v>
      </c>
      <c r="J96">
        <v>603835</v>
      </c>
      <c r="K96">
        <v>14.89</v>
      </c>
      <c r="L96">
        <v>1.75</v>
      </c>
      <c r="M96">
        <v>-0.29999999999999982</v>
      </c>
      <c r="N96">
        <v>-14.634146341463408</v>
      </c>
      <c r="O96">
        <v>18665.5</v>
      </c>
      <c r="P96">
        <v>19500</v>
      </c>
      <c r="Q96" t="s">
        <v>50</v>
      </c>
      <c r="R96" t="s">
        <v>24</v>
      </c>
      <c r="S96">
        <v>4737</v>
      </c>
      <c r="T96">
        <v>-132</v>
      </c>
      <c r="U96">
        <v>-2.7110289587184222</v>
      </c>
      <c r="V96">
        <v>1066</v>
      </c>
      <c r="W96">
        <v>0</v>
      </c>
      <c r="X96">
        <v>797.95</v>
      </c>
      <c r="Y96">
        <v>131.30000000000007</v>
      </c>
      <c r="Z96">
        <v>19.695492387309692</v>
      </c>
      <c r="AA96">
        <v>18665.5</v>
      </c>
    </row>
    <row r="97" spans="2:27" x14ac:dyDescent="0.25">
      <c r="B97">
        <v>19550</v>
      </c>
      <c r="C97" t="s">
        <v>50</v>
      </c>
      <c r="D97">
        <v>19550</v>
      </c>
      <c r="E97" t="s">
        <v>50</v>
      </c>
      <c r="F97" t="s">
        <v>24</v>
      </c>
      <c r="G97">
        <v>7563</v>
      </c>
      <c r="H97">
        <v>-1449</v>
      </c>
      <c r="I97">
        <v>-16.078561917443409</v>
      </c>
      <c r="J97">
        <v>61563</v>
      </c>
      <c r="K97">
        <v>15.34</v>
      </c>
      <c r="L97">
        <v>1.5</v>
      </c>
      <c r="M97">
        <v>-0.30000000000000004</v>
      </c>
      <c r="N97">
        <v>-16.666666666666668</v>
      </c>
      <c r="O97">
        <v>18665.5</v>
      </c>
      <c r="P97">
        <v>19550</v>
      </c>
      <c r="Q97" t="s">
        <v>50</v>
      </c>
      <c r="R97" t="s">
        <v>24</v>
      </c>
      <c r="S97">
        <v>22</v>
      </c>
      <c r="T97">
        <v>1</v>
      </c>
      <c r="U97">
        <v>4.7619047619047619</v>
      </c>
      <c r="V97">
        <v>27</v>
      </c>
      <c r="W97">
        <v>0</v>
      </c>
      <c r="X97">
        <v>841.05</v>
      </c>
      <c r="Y97">
        <v>104.59999999999992</v>
      </c>
      <c r="Z97">
        <v>14.203272455699627</v>
      </c>
      <c r="AA97">
        <v>18665.5</v>
      </c>
    </row>
    <row r="98" spans="2:27" x14ac:dyDescent="0.25">
      <c r="B98">
        <v>19600</v>
      </c>
      <c r="C98" t="s">
        <v>50</v>
      </c>
      <c r="D98">
        <v>19600</v>
      </c>
      <c r="E98" t="s">
        <v>50</v>
      </c>
      <c r="F98" t="s">
        <v>24</v>
      </c>
      <c r="G98">
        <v>22943</v>
      </c>
      <c r="H98">
        <v>-770</v>
      </c>
      <c r="I98">
        <v>-3.2471640028676254</v>
      </c>
      <c r="J98">
        <v>140845</v>
      </c>
      <c r="K98">
        <v>16.61</v>
      </c>
      <c r="L98">
        <v>1.9</v>
      </c>
      <c r="M98">
        <v>9.9999999999999881E-2</v>
      </c>
      <c r="N98">
        <v>5.5555555555555483</v>
      </c>
      <c r="O98">
        <v>18665.5</v>
      </c>
      <c r="P98">
        <v>19600</v>
      </c>
      <c r="Q98" t="s">
        <v>50</v>
      </c>
      <c r="R98" t="s">
        <v>24</v>
      </c>
      <c r="S98">
        <v>54</v>
      </c>
      <c r="T98">
        <v>1</v>
      </c>
      <c r="U98">
        <v>1.8867924528301887</v>
      </c>
      <c r="V98">
        <v>11</v>
      </c>
      <c r="W98">
        <v>0</v>
      </c>
      <c r="X98">
        <v>875.2</v>
      </c>
      <c r="Y98">
        <v>165.20000000000005</v>
      </c>
      <c r="Z98">
        <v>23.267605633802823</v>
      </c>
      <c r="AA98">
        <v>18665.5</v>
      </c>
    </row>
    <row r="99" spans="2:27" x14ac:dyDescent="0.25">
      <c r="B99">
        <v>19650</v>
      </c>
      <c r="C99" t="s">
        <v>50</v>
      </c>
      <c r="D99">
        <v>19650</v>
      </c>
      <c r="E99" t="s">
        <v>50</v>
      </c>
      <c r="F99" t="s">
        <v>24</v>
      </c>
      <c r="G99">
        <v>6441</v>
      </c>
      <c r="H99">
        <v>3558</v>
      </c>
      <c r="I99">
        <v>123.41311134235173</v>
      </c>
      <c r="J99">
        <v>50848</v>
      </c>
      <c r="K99">
        <v>17.38</v>
      </c>
      <c r="L99">
        <v>1.9</v>
      </c>
      <c r="M99">
        <v>0.25</v>
      </c>
      <c r="N99">
        <v>15.151515151515152</v>
      </c>
      <c r="O99">
        <v>18665.5</v>
      </c>
      <c r="P99">
        <v>19650</v>
      </c>
      <c r="Q99" t="s">
        <v>50</v>
      </c>
      <c r="R99" t="s">
        <v>24</v>
      </c>
      <c r="S99">
        <v>44</v>
      </c>
      <c r="T99">
        <v>0</v>
      </c>
      <c r="U99">
        <v>0</v>
      </c>
      <c r="V99">
        <v>0</v>
      </c>
      <c r="W99">
        <v>0</v>
      </c>
      <c r="X99">
        <v>780</v>
      </c>
      <c r="Y99">
        <v>0</v>
      </c>
      <c r="Z99">
        <v>0</v>
      </c>
      <c r="AA99">
        <v>18665.5</v>
      </c>
    </row>
    <row r="100" spans="2:27" x14ac:dyDescent="0.25">
      <c r="B100">
        <v>19700</v>
      </c>
      <c r="C100" t="s">
        <v>50</v>
      </c>
      <c r="D100">
        <v>19700</v>
      </c>
      <c r="E100" t="s">
        <v>50</v>
      </c>
      <c r="F100" t="s">
        <v>24</v>
      </c>
      <c r="G100">
        <v>79505</v>
      </c>
      <c r="H100">
        <v>10767</v>
      </c>
      <c r="I100">
        <v>15.663824958538218</v>
      </c>
      <c r="J100">
        <v>222702</v>
      </c>
      <c r="K100">
        <v>17.809999999999999</v>
      </c>
      <c r="L100">
        <v>1.65</v>
      </c>
      <c r="M100">
        <v>0</v>
      </c>
      <c r="N100">
        <v>0</v>
      </c>
      <c r="O100">
        <v>18665.5</v>
      </c>
      <c r="P100">
        <v>19700</v>
      </c>
      <c r="Q100" t="s">
        <v>50</v>
      </c>
      <c r="R100" t="s">
        <v>24</v>
      </c>
      <c r="S100">
        <v>214</v>
      </c>
      <c r="T100">
        <v>-4</v>
      </c>
      <c r="U100">
        <v>-1.834862385321101</v>
      </c>
      <c r="V100">
        <v>93</v>
      </c>
      <c r="W100">
        <v>0</v>
      </c>
      <c r="X100">
        <v>973</v>
      </c>
      <c r="Y100">
        <v>102.20000000000005</v>
      </c>
      <c r="Z100">
        <v>11.736334405144699</v>
      </c>
      <c r="AA100">
        <v>18665.5</v>
      </c>
    </row>
    <row r="101" spans="2:27" x14ac:dyDescent="0.25">
      <c r="B101">
        <v>19750</v>
      </c>
      <c r="C101" t="s">
        <v>50</v>
      </c>
      <c r="D101">
        <v>19750</v>
      </c>
      <c r="E101" t="s">
        <v>50</v>
      </c>
      <c r="F101" t="s">
        <v>24</v>
      </c>
      <c r="G101">
        <v>2153</v>
      </c>
      <c r="H101">
        <v>334</v>
      </c>
      <c r="I101">
        <v>18.361737218251783</v>
      </c>
      <c r="J101">
        <v>49763</v>
      </c>
      <c r="K101">
        <v>18.489999999999998</v>
      </c>
      <c r="L101">
        <v>1.6</v>
      </c>
      <c r="M101">
        <v>0.10000000000000007</v>
      </c>
      <c r="N101">
        <v>6.6666666666666723</v>
      </c>
      <c r="O101">
        <v>18665.5</v>
      </c>
      <c r="P101">
        <v>19750</v>
      </c>
      <c r="Q101" t="s">
        <v>50</v>
      </c>
      <c r="R101" t="s">
        <v>24</v>
      </c>
      <c r="S101">
        <v>16</v>
      </c>
      <c r="T101">
        <v>0</v>
      </c>
      <c r="U101">
        <v>0</v>
      </c>
      <c r="V101">
        <v>13</v>
      </c>
      <c r="W101">
        <v>0</v>
      </c>
      <c r="X101">
        <v>1050.45</v>
      </c>
      <c r="Y101">
        <v>133.85000000000002</v>
      </c>
      <c r="Z101">
        <v>14.602880209469779</v>
      </c>
      <c r="AA101">
        <v>18665.5</v>
      </c>
    </row>
    <row r="102" spans="2:27" x14ac:dyDescent="0.25">
      <c r="B102">
        <v>19800</v>
      </c>
      <c r="C102" t="s">
        <v>50</v>
      </c>
      <c r="D102">
        <v>19800</v>
      </c>
      <c r="E102" t="s">
        <v>50</v>
      </c>
      <c r="F102" t="s">
        <v>24</v>
      </c>
      <c r="G102">
        <v>91511</v>
      </c>
      <c r="H102">
        <v>9565</v>
      </c>
      <c r="I102">
        <v>11.672320796622166</v>
      </c>
      <c r="J102">
        <v>177310</v>
      </c>
      <c r="K102">
        <v>19.149999999999999</v>
      </c>
      <c r="L102">
        <v>1.55</v>
      </c>
      <c r="M102">
        <v>0</v>
      </c>
      <c r="N102">
        <v>0</v>
      </c>
      <c r="O102">
        <v>18665.5</v>
      </c>
      <c r="P102">
        <v>19800</v>
      </c>
      <c r="Q102" t="s">
        <v>50</v>
      </c>
      <c r="R102" t="s">
        <v>24</v>
      </c>
      <c r="S102">
        <v>32</v>
      </c>
      <c r="T102">
        <v>5</v>
      </c>
      <c r="U102">
        <v>18.518518518518519</v>
      </c>
      <c r="V102">
        <v>15</v>
      </c>
      <c r="W102">
        <v>0</v>
      </c>
      <c r="X102">
        <v>1041.3499999999999</v>
      </c>
      <c r="Y102">
        <v>117.74999999999989</v>
      </c>
      <c r="Z102">
        <v>12.74902555218708</v>
      </c>
      <c r="AA102">
        <v>18665.5</v>
      </c>
    </row>
    <row r="103" spans="2:27" x14ac:dyDescent="0.25">
      <c r="B103">
        <v>19850</v>
      </c>
      <c r="C103" t="s">
        <v>50</v>
      </c>
      <c r="D103">
        <v>19850</v>
      </c>
      <c r="E103" t="s">
        <v>50</v>
      </c>
      <c r="F103" t="s">
        <v>24</v>
      </c>
      <c r="G103">
        <v>6763</v>
      </c>
      <c r="H103">
        <v>5598</v>
      </c>
      <c r="I103">
        <v>480.51502145922746</v>
      </c>
      <c r="J103">
        <v>73052</v>
      </c>
      <c r="K103">
        <v>20.11</v>
      </c>
      <c r="L103">
        <v>1.7</v>
      </c>
      <c r="M103">
        <v>0.30000000000000004</v>
      </c>
      <c r="N103">
        <v>21.428571428571431</v>
      </c>
      <c r="O103">
        <v>18665.5</v>
      </c>
      <c r="P103">
        <v>19850</v>
      </c>
      <c r="Q103" t="s">
        <v>50</v>
      </c>
      <c r="R103" t="s">
        <v>24</v>
      </c>
      <c r="S103">
        <v>8</v>
      </c>
      <c r="T103">
        <v>0</v>
      </c>
      <c r="U103">
        <v>0</v>
      </c>
      <c r="V103">
        <v>0</v>
      </c>
      <c r="W103">
        <v>0</v>
      </c>
      <c r="X103">
        <v>1003.45</v>
      </c>
      <c r="Y103">
        <v>0</v>
      </c>
      <c r="Z103">
        <v>0</v>
      </c>
      <c r="AA103">
        <v>18665.5</v>
      </c>
    </row>
    <row r="104" spans="2:27" x14ac:dyDescent="0.25">
      <c r="B104">
        <v>19900</v>
      </c>
      <c r="C104" t="s">
        <v>50</v>
      </c>
      <c r="D104">
        <v>19900</v>
      </c>
      <c r="E104" t="s">
        <v>50</v>
      </c>
      <c r="F104" t="s">
        <v>24</v>
      </c>
      <c r="G104">
        <v>24272</v>
      </c>
      <c r="H104">
        <v>16185</v>
      </c>
      <c r="I104">
        <v>200.13602077408183</v>
      </c>
      <c r="J104">
        <v>134065</v>
      </c>
      <c r="K104">
        <v>20.69</v>
      </c>
      <c r="L104">
        <v>1.6</v>
      </c>
      <c r="M104">
        <v>0.25</v>
      </c>
      <c r="N104">
        <v>18.518518518518519</v>
      </c>
      <c r="O104">
        <v>18665.5</v>
      </c>
      <c r="P104">
        <v>19900</v>
      </c>
      <c r="Q104" t="s">
        <v>50</v>
      </c>
      <c r="R104" t="s">
        <v>24</v>
      </c>
      <c r="S104">
        <v>19</v>
      </c>
      <c r="T104">
        <v>0</v>
      </c>
      <c r="U104">
        <v>0</v>
      </c>
      <c r="V104">
        <v>0</v>
      </c>
      <c r="W104">
        <v>0</v>
      </c>
      <c r="X104">
        <v>1017.85</v>
      </c>
      <c r="Y104">
        <v>0</v>
      </c>
      <c r="Z104">
        <v>0</v>
      </c>
      <c r="AA104">
        <v>18665.5</v>
      </c>
    </row>
    <row r="105" spans="2:27" x14ac:dyDescent="0.25">
      <c r="B105">
        <v>19950</v>
      </c>
      <c r="C105" t="s">
        <v>50</v>
      </c>
      <c r="D105">
        <v>19950</v>
      </c>
      <c r="E105" t="s">
        <v>50</v>
      </c>
      <c r="F105" t="s">
        <v>24</v>
      </c>
      <c r="G105">
        <v>7186</v>
      </c>
      <c r="H105">
        <v>6272</v>
      </c>
      <c r="I105">
        <v>686.21444201312909</v>
      </c>
      <c r="J105">
        <v>63849</v>
      </c>
      <c r="K105">
        <v>21.49</v>
      </c>
      <c r="L105">
        <v>1.65</v>
      </c>
      <c r="M105">
        <v>0.34999999999999987</v>
      </c>
      <c r="N105">
        <v>26.923076923076909</v>
      </c>
      <c r="O105">
        <v>18665.5</v>
      </c>
      <c r="P105">
        <v>19950</v>
      </c>
      <c r="Q105" t="s">
        <v>50</v>
      </c>
      <c r="R105" t="s">
        <v>24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18665.5</v>
      </c>
    </row>
    <row r="106" spans="2:27" x14ac:dyDescent="0.25">
      <c r="B106">
        <v>20000</v>
      </c>
      <c r="C106" t="s">
        <v>50</v>
      </c>
      <c r="D106">
        <v>20000</v>
      </c>
      <c r="E106" t="s">
        <v>50</v>
      </c>
      <c r="F106" t="s">
        <v>24</v>
      </c>
      <c r="G106">
        <v>96642</v>
      </c>
      <c r="H106">
        <v>29583</v>
      </c>
      <c r="I106">
        <v>44.114883908200241</v>
      </c>
      <c r="J106">
        <v>315402</v>
      </c>
      <c r="K106">
        <v>21.58</v>
      </c>
      <c r="L106">
        <v>1.3</v>
      </c>
      <c r="M106">
        <v>0.19999999999999996</v>
      </c>
      <c r="N106">
        <v>18.181818181818176</v>
      </c>
      <c r="O106">
        <v>18665.5</v>
      </c>
      <c r="P106">
        <v>20000</v>
      </c>
      <c r="Q106" t="s">
        <v>50</v>
      </c>
      <c r="R106" t="s">
        <v>24</v>
      </c>
      <c r="S106">
        <v>7853</v>
      </c>
      <c r="T106">
        <v>-442</v>
      </c>
      <c r="U106">
        <v>-5.3285111512959613</v>
      </c>
      <c r="V106">
        <v>1540</v>
      </c>
      <c r="W106">
        <v>0</v>
      </c>
      <c r="X106">
        <v>1299.95</v>
      </c>
      <c r="Y106">
        <v>134.90000000000009</v>
      </c>
      <c r="Z106">
        <v>11.578902193038934</v>
      </c>
      <c r="AA106">
        <v>18665.5</v>
      </c>
    </row>
    <row r="107" spans="2:27" x14ac:dyDescent="0.25">
      <c r="B107">
        <v>20050</v>
      </c>
      <c r="C107" t="s">
        <v>50</v>
      </c>
      <c r="D107">
        <v>20050</v>
      </c>
      <c r="E107" t="s">
        <v>50</v>
      </c>
      <c r="F107" t="s">
        <v>24</v>
      </c>
      <c r="G107">
        <v>8466</v>
      </c>
      <c r="H107">
        <v>7980</v>
      </c>
      <c r="I107">
        <v>1641.9753086419753</v>
      </c>
      <c r="J107">
        <v>54005</v>
      </c>
      <c r="K107">
        <v>22.66</v>
      </c>
      <c r="L107">
        <v>1.5</v>
      </c>
      <c r="M107">
        <v>0.39999999999999991</v>
      </c>
      <c r="N107">
        <v>36.363636363636353</v>
      </c>
      <c r="O107">
        <v>18665.5</v>
      </c>
      <c r="P107">
        <v>20050</v>
      </c>
      <c r="Q107" t="s">
        <v>50</v>
      </c>
      <c r="R107" t="s">
        <v>24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1160.3</v>
      </c>
      <c r="Y107">
        <v>0</v>
      </c>
      <c r="Z107">
        <v>0</v>
      </c>
      <c r="AA107">
        <v>18665.5</v>
      </c>
    </row>
    <row r="108" spans="2:27" x14ac:dyDescent="0.25">
      <c r="B108">
        <v>20100</v>
      </c>
      <c r="C108" t="s">
        <v>50</v>
      </c>
      <c r="D108">
        <v>20100</v>
      </c>
      <c r="E108" t="s">
        <v>50</v>
      </c>
      <c r="F108" t="s">
        <v>24</v>
      </c>
      <c r="G108">
        <v>11341</v>
      </c>
      <c r="H108">
        <v>9419</v>
      </c>
      <c r="I108">
        <v>490.06243496357962</v>
      </c>
      <c r="J108">
        <v>68732</v>
      </c>
      <c r="K108">
        <v>23.46</v>
      </c>
      <c r="L108">
        <v>1.55</v>
      </c>
      <c r="M108">
        <v>0.5</v>
      </c>
      <c r="N108">
        <v>47.619047619047613</v>
      </c>
      <c r="O108">
        <v>18665.5</v>
      </c>
      <c r="P108">
        <v>20100</v>
      </c>
      <c r="Q108" t="s">
        <v>50</v>
      </c>
      <c r="R108" t="s">
        <v>24</v>
      </c>
      <c r="S108">
        <v>4</v>
      </c>
      <c r="T108">
        <v>1</v>
      </c>
      <c r="U108">
        <v>33.333333333333336</v>
      </c>
      <c r="V108">
        <v>3</v>
      </c>
      <c r="W108">
        <v>0</v>
      </c>
      <c r="X108">
        <v>1371.95</v>
      </c>
      <c r="Y108">
        <v>154.90000000000009</v>
      </c>
      <c r="Z108">
        <v>12.727496816071657</v>
      </c>
      <c r="AA108">
        <v>18665.5</v>
      </c>
    </row>
    <row r="109" spans="2:27" x14ac:dyDescent="0.25">
      <c r="B109">
        <v>20150</v>
      </c>
      <c r="C109" t="s">
        <v>50</v>
      </c>
      <c r="D109">
        <v>20150</v>
      </c>
      <c r="E109" t="s">
        <v>50</v>
      </c>
      <c r="F109" t="s">
        <v>24</v>
      </c>
      <c r="G109">
        <v>3606</v>
      </c>
      <c r="H109">
        <v>3198</v>
      </c>
      <c r="I109">
        <v>783.82352941176475</v>
      </c>
      <c r="J109">
        <v>22230</v>
      </c>
      <c r="K109">
        <v>24.16</v>
      </c>
      <c r="L109">
        <v>1.55</v>
      </c>
      <c r="M109">
        <v>0.45</v>
      </c>
      <c r="N109">
        <v>40.909090909090899</v>
      </c>
      <c r="O109">
        <v>18665.5</v>
      </c>
      <c r="P109">
        <v>20150</v>
      </c>
      <c r="Q109" t="s">
        <v>50</v>
      </c>
      <c r="R109" t="s">
        <v>24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18665.5</v>
      </c>
    </row>
    <row r="110" spans="2:27" x14ac:dyDescent="0.25">
      <c r="B110">
        <v>20200</v>
      </c>
      <c r="C110" t="s">
        <v>50</v>
      </c>
      <c r="D110">
        <v>20200</v>
      </c>
      <c r="E110" t="s">
        <v>50</v>
      </c>
      <c r="F110" t="s">
        <v>24</v>
      </c>
      <c r="G110">
        <v>11198</v>
      </c>
      <c r="H110">
        <v>-1478</v>
      </c>
      <c r="I110">
        <v>-11.659829599242665</v>
      </c>
      <c r="J110">
        <v>87941</v>
      </c>
      <c r="K110">
        <v>23.89</v>
      </c>
      <c r="L110">
        <v>1.1000000000000001</v>
      </c>
      <c r="M110">
        <v>0.20000000000000007</v>
      </c>
      <c r="N110">
        <v>22.222222222222229</v>
      </c>
      <c r="O110">
        <v>18665.5</v>
      </c>
      <c r="P110">
        <v>20200</v>
      </c>
      <c r="Q110" t="s">
        <v>50</v>
      </c>
      <c r="R110" t="s">
        <v>24</v>
      </c>
      <c r="S110">
        <v>4</v>
      </c>
      <c r="T110">
        <v>1</v>
      </c>
      <c r="U110">
        <v>33.333333333333336</v>
      </c>
      <c r="V110">
        <v>1</v>
      </c>
      <c r="W110">
        <v>0</v>
      </c>
      <c r="X110">
        <v>1476.4</v>
      </c>
      <c r="Y110">
        <v>150.55000000000018</v>
      </c>
      <c r="Z110">
        <v>11.354979824263694</v>
      </c>
      <c r="AA110">
        <v>18665.5</v>
      </c>
    </row>
    <row r="111" spans="2:27" x14ac:dyDescent="0.25">
      <c r="B111">
        <v>20250</v>
      </c>
      <c r="C111" t="s">
        <v>50</v>
      </c>
      <c r="D111">
        <v>20250</v>
      </c>
      <c r="E111" t="s">
        <v>50</v>
      </c>
      <c r="F111" t="s">
        <v>24</v>
      </c>
      <c r="G111">
        <v>3435</v>
      </c>
      <c r="H111">
        <v>2717</v>
      </c>
      <c r="I111">
        <v>378.41225626740948</v>
      </c>
      <c r="J111">
        <v>17612</v>
      </c>
      <c r="K111">
        <v>24.81</v>
      </c>
      <c r="L111">
        <v>1.2</v>
      </c>
      <c r="M111">
        <v>0.25</v>
      </c>
      <c r="N111">
        <v>26.315789473684209</v>
      </c>
      <c r="O111">
        <v>18665.5</v>
      </c>
      <c r="P111">
        <v>20250</v>
      </c>
      <c r="Q111" t="s">
        <v>50</v>
      </c>
      <c r="R111" t="s">
        <v>24</v>
      </c>
      <c r="S111">
        <v>1</v>
      </c>
      <c r="T111">
        <v>1</v>
      </c>
      <c r="U111">
        <v>0</v>
      </c>
      <c r="V111">
        <v>1</v>
      </c>
      <c r="W111">
        <v>0</v>
      </c>
      <c r="X111">
        <v>1526.65</v>
      </c>
      <c r="Y111">
        <v>-1054.4499999999998</v>
      </c>
      <c r="Z111">
        <v>-40.852737205067605</v>
      </c>
      <c r="AA111">
        <v>18665.5</v>
      </c>
    </row>
    <row r="112" spans="2:27" x14ac:dyDescent="0.25">
      <c r="B112">
        <v>20300</v>
      </c>
      <c r="C112" t="s">
        <v>50</v>
      </c>
      <c r="D112">
        <v>20300</v>
      </c>
      <c r="E112" t="s">
        <v>50</v>
      </c>
      <c r="F112" t="s">
        <v>24</v>
      </c>
      <c r="G112">
        <v>17190</v>
      </c>
      <c r="H112">
        <v>4161</v>
      </c>
      <c r="I112">
        <v>31.936449458899379</v>
      </c>
      <c r="J112">
        <v>72433</v>
      </c>
      <c r="K112">
        <v>25.83</v>
      </c>
      <c r="L112">
        <v>1.35</v>
      </c>
      <c r="M112">
        <v>0.45000000000000007</v>
      </c>
      <c r="N112">
        <v>50.000000000000014</v>
      </c>
      <c r="O112">
        <v>18665.5</v>
      </c>
      <c r="P112">
        <v>20300</v>
      </c>
      <c r="Q112" t="s">
        <v>50</v>
      </c>
      <c r="R112" t="s">
        <v>24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18665.5</v>
      </c>
    </row>
    <row r="113" spans="2:27" x14ac:dyDescent="0.25">
      <c r="B113">
        <v>20350</v>
      </c>
      <c r="C113" t="s">
        <v>50</v>
      </c>
      <c r="D113">
        <v>20350</v>
      </c>
      <c r="E113" t="s">
        <v>50</v>
      </c>
      <c r="F113" t="s">
        <v>24</v>
      </c>
      <c r="G113">
        <v>8752</v>
      </c>
      <c r="H113">
        <v>8506</v>
      </c>
      <c r="I113">
        <v>3457.7235772357722</v>
      </c>
      <c r="J113">
        <v>34783</v>
      </c>
      <c r="K113">
        <v>25.9</v>
      </c>
      <c r="L113">
        <v>1.1000000000000001</v>
      </c>
      <c r="M113">
        <v>0.20000000000000007</v>
      </c>
      <c r="N113">
        <v>22.222222222222229</v>
      </c>
      <c r="O113">
        <v>18665.5</v>
      </c>
      <c r="P113">
        <v>20350</v>
      </c>
      <c r="Q113" t="s">
        <v>50</v>
      </c>
      <c r="R113" t="s">
        <v>24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18665.5</v>
      </c>
    </row>
    <row r="114" spans="2:27" x14ac:dyDescent="0.25">
      <c r="B114">
        <v>21000</v>
      </c>
      <c r="C114" t="s">
        <v>50</v>
      </c>
      <c r="D114">
        <v>21000</v>
      </c>
      <c r="E114" t="s">
        <v>50</v>
      </c>
      <c r="F114" t="s">
        <v>24</v>
      </c>
      <c r="G114">
        <v>31518</v>
      </c>
      <c r="H114">
        <v>14325</v>
      </c>
      <c r="I114">
        <v>83.318792531844352</v>
      </c>
      <c r="J114">
        <v>71128</v>
      </c>
      <c r="K114">
        <v>34.26</v>
      </c>
      <c r="L114">
        <v>1.1000000000000001</v>
      </c>
      <c r="M114">
        <v>-9.9999999999999881E-2</v>
      </c>
      <c r="N114">
        <v>-8.3333333333333233</v>
      </c>
      <c r="O114">
        <v>18665.5</v>
      </c>
      <c r="P114">
        <v>21000</v>
      </c>
      <c r="Q114" t="s">
        <v>50</v>
      </c>
      <c r="R114" t="s">
        <v>24</v>
      </c>
      <c r="S114">
        <v>3861</v>
      </c>
      <c r="T114">
        <v>-72</v>
      </c>
      <c r="U114">
        <v>-1.8306636155606408</v>
      </c>
      <c r="V114">
        <v>131</v>
      </c>
      <c r="W114">
        <v>0</v>
      </c>
      <c r="X114">
        <v>2295.65</v>
      </c>
      <c r="Y114">
        <v>130.84999999999991</v>
      </c>
      <c r="Z114">
        <v>6.0444382852919389</v>
      </c>
      <c r="AA114">
        <v>18665.5</v>
      </c>
    </row>
    <row r="115" spans="2:27" x14ac:dyDescent="0.25">
      <c r="B115">
        <v>22000</v>
      </c>
      <c r="C115" t="s">
        <v>50</v>
      </c>
      <c r="D115">
        <v>22000</v>
      </c>
      <c r="E115" t="s">
        <v>50</v>
      </c>
      <c r="F115" t="s">
        <v>24</v>
      </c>
      <c r="G115">
        <v>12269</v>
      </c>
      <c r="H115">
        <v>6242</v>
      </c>
      <c r="I115">
        <v>103.56728057076489</v>
      </c>
      <c r="J115">
        <v>34991</v>
      </c>
      <c r="K115">
        <v>45.1</v>
      </c>
      <c r="L115">
        <v>0.85</v>
      </c>
      <c r="M115">
        <v>-9.9999999999999978E-2</v>
      </c>
      <c r="N115">
        <v>-10.52631578947368</v>
      </c>
      <c r="O115">
        <v>18665.5</v>
      </c>
      <c r="P115">
        <v>22000</v>
      </c>
      <c r="Q115" t="s">
        <v>50</v>
      </c>
      <c r="R115" t="s">
        <v>24</v>
      </c>
      <c r="S115">
        <v>6132</v>
      </c>
      <c r="T115">
        <v>-520</v>
      </c>
      <c r="U115">
        <v>-7.8171978352375229</v>
      </c>
      <c r="V115">
        <v>743</v>
      </c>
      <c r="W115">
        <v>0</v>
      </c>
      <c r="X115">
        <v>3289.1</v>
      </c>
      <c r="Y115">
        <v>126.59999999999992</v>
      </c>
      <c r="Z115">
        <v>4.0031620553359657</v>
      </c>
      <c r="AA115">
        <v>18665.5</v>
      </c>
    </row>
    <row r="116" spans="2:27" x14ac:dyDescent="0.25">
      <c r="B116">
        <v>23000</v>
      </c>
      <c r="C116" t="s">
        <v>50</v>
      </c>
      <c r="D116">
        <v>23000</v>
      </c>
      <c r="E116" t="s">
        <v>50</v>
      </c>
      <c r="F116" t="s">
        <v>24</v>
      </c>
      <c r="G116">
        <v>16505</v>
      </c>
      <c r="H116">
        <v>12377</v>
      </c>
      <c r="I116">
        <v>299.83042635658916</v>
      </c>
      <c r="J116">
        <v>105765</v>
      </c>
      <c r="K116">
        <v>54.31</v>
      </c>
      <c r="L116">
        <v>0.6</v>
      </c>
      <c r="M116">
        <v>-0.30000000000000004</v>
      </c>
      <c r="N116">
        <v>-33.333333333333336</v>
      </c>
      <c r="O116">
        <v>18665.5</v>
      </c>
      <c r="P116">
        <v>23000</v>
      </c>
      <c r="Q116" t="s">
        <v>50</v>
      </c>
      <c r="R116" t="s">
        <v>24</v>
      </c>
      <c r="S116">
        <v>4</v>
      </c>
      <c r="T116">
        <v>0</v>
      </c>
      <c r="U116">
        <v>0</v>
      </c>
      <c r="V116">
        <v>0</v>
      </c>
      <c r="W116">
        <v>0</v>
      </c>
      <c r="X116">
        <v>4310</v>
      </c>
      <c r="Y116">
        <v>0</v>
      </c>
      <c r="Z116">
        <v>0</v>
      </c>
      <c r="AA116">
        <v>18665.5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76"/>
  <sheetViews>
    <sheetView topLeftCell="H1" workbookViewId="0">
      <selection sqref="A1:Z76"/>
    </sheetView>
  </sheetViews>
  <sheetFormatPr defaultRowHeight="15" x14ac:dyDescent="0.25"/>
  <cols>
    <col min="1" max="1" width="12.7109375" bestFit="1" customWidth="1"/>
    <col min="2" max="2" width="13" bestFit="1" customWidth="1"/>
    <col min="3" max="3" width="16.7109375" bestFit="1" customWidth="1"/>
    <col min="4" max="4" width="17" bestFit="1" customWidth="1"/>
    <col min="5" max="5" width="16.85546875" bestFit="1" customWidth="1"/>
    <col min="6" max="6" width="18.85546875" bestFit="1" customWidth="1"/>
    <col min="7" max="7" width="27.42578125" bestFit="1" customWidth="1"/>
    <col min="8" max="8" width="28.7109375" bestFit="1" customWidth="1"/>
    <col min="9" max="9" width="24.85546875" bestFit="1" customWidth="1"/>
    <col min="10" max="10" width="22.42578125" bestFit="1" customWidth="1"/>
    <col min="11" max="11" width="14.7109375" bestFit="1" customWidth="1"/>
    <col min="12" max="12" width="13.42578125" bestFit="1" customWidth="1"/>
    <col min="13" max="13" width="14.85546875" bestFit="1" customWidth="1"/>
    <col min="14" max="14" width="22.140625" bestFit="1" customWidth="1"/>
    <col min="15" max="15" width="16.42578125" bestFit="1" customWidth="1"/>
    <col min="16" max="16" width="16.7109375" bestFit="1" customWidth="1"/>
    <col min="17" max="17" width="16.5703125" bestFit="1" customWidth="1"/>
    <col min="18" max="18" width="18.5703125" bestFit="1" customWidth="1"/>
    <col min="19" max="19" width="27.140625" bestFit="1" customWidth="1"/>
    <col min="20" max="20" width="28.42578125" bestFit="1" customWidth="1"/>
    <col min="21" max="21" width="24.5703125" bestFit="1" customWidth="1"/>
    <col min="22" max="22" width="22.140625" bestFit="1" customWidth="1"/>
    <col min="23" max="23" width="14.42578125" bestFit="1" customWidth="1"/>
    <col min="24" max="24" width="13.140625" bestFit="1" customWidth="1"/>
    <col min="25" max="25" width="14.5703125" bestFit="1" customWidth="1"/>
    <col min="26" max="26" width="21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39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40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</row>
    <row r="2" spans="1:26" x14ac:dyDescent="0.25">
      <c r="A2">
        <v>37500</v>
      </c>
      <c r="B2" t="s">
        <v>48</v>
      </c>
      <c r="C2">
        <v>37500</v>
      </c>
      <c r="D2" t="s">
        <v>48</v>
      </c>
      <c r="E2" t="s">
        <v>25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43622.9</v>
      </c>
      <c r="O2">
        <v>37500</v>
      </c>
      <c r="P2" t="s">
        <v>48</v>
      </c>
      <c r="Q2" t="s">
        <v>25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43622.9</v>
      </c>
    </row>
    <row r="3" spans="1:26" x14ac:dyDescent="0.25">
      <c r="A3">
        <v>38000</v>
      </c>
      <c r="B3" t="s">
        <v>48</v>
      </c>
      <c r="C3">
        <v>38000</v>
      </c>
      <c r="D3" t="s">
        <v>48</v>
      </c>
      <c r="E3" t="s">
        <v>25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43622.9</v>
      </c>
      <c r="O3">
        <v>38000</v>
      </c>
      <c r="P3" t="s">
        <v>48</v>
      </c>
      <c r="Q3" t="s">
        <v>25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43622.9</v>
      </c>
    </row>
    <row r="4" spans="1:26" x14ac:dyDescent="0.25">
      <c r="A4">
        <v>38500</v>
      </c>
      <c r="B4" t="s">
        <v>48</v>
      </c>
      <c r="C4">
        <v>38500</v>
      </c>
      <c r="D4" t="s">
        <v>48</v>
      </c>
      <c r="E4" t="s">
        <v>25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43622.9</v>
      </c>
      <c r="O4">
        <v>38500</v>
      </c>
      <c r="P4" t="s">
        <v>48</v>
      </c>
      <c r="Q4" t="s">
        <v>25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43622.9</v>
      </c>
    </row>
    <row r="5" spans="1:26" x14ac:dyDescent="0.25">
      <c r="A5">
        <v>39000</v>
      </c>
      <c r="B5" t="s">
        <v>48</v>
      </c>
      <c r="C5">
        <v>39000</v>
      </c>
      <c r="D5" t="s">
        <v>48</v>
      </c>
      <c r="E5" t="s">
        <v>25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43622.9</v>
      </c>
      <c r="O5">
        <v>39000</v>
      </c>
      <c r="P5" t="s">
        <v>48</v>
      </c>
      <c r="Q5" t="s">
        <v>25</v>
      </c>
      <c r="R5">
        <v>468</v>
      </c>
      <c r="S5">
        <v>396</v>
      </c>
      <c r="T5">
        <v>550</v>
      </c>
      <c r="U5">
        <v>930</v>
      </c>
      <c r="V5">
        <v>25.91</v>
      </c>
      <c r="W5">
        <v>6.1</v>
      </c>
      <c r="X5">
        <v>-2.7000000000000011</v>
      </c>
      <c r="Y5">
        <v>-30.681818181818191</v>
      </c>
      <c r="Z5">
        <v>43622.9</v>
      </c>
    </row>
    <row r="6" spans="1:26" x14ac:dyDescent="0.25">
      <c r="A6">
        <v>39500</v>
      </c>
      <c r="B6" t="s">
        <v>48</v>
      </c>
      <c r="C6">
        <v>39500</v>
      </c>
      <c r="D6" t="s">
        <v>48</v>
      </c>
      <c r="E6" t="s">
        <v>25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43622.9</v>
      </c>
      <c r="O6">
        <v>39500</v>
      </c>
      <c r="P6" t="s">
        <v>48</v>
      </c>
      <c r="Q6" t="s">
        <v>25</v>
      </c>
      <c r="R6">
        <v>324</v>
      </c>
      <c r="S6">
        <v>66</v>
      </c>
      <c r="T6">
        <v>25.581395348837209</v>
      </c>
      <c r="U6">
        <v>470</v>
      </c>
      <c r="V6">
        <v>23.83</v>
      </c>
      <c r="W6">
        <v>7.1</v>
      </c>
      <c r="X6">
        <v>-1.3000000000000007</v>
      </c>
      <c r="Y6">
        <v>-15.476190476190483</v>
      </c>
      <c r="Z6">
        <v>43622.9</v>
      </c>
    </row>
    <row r="7" spans="1:26" x14ac:dyDescent="0.25">
      <c r="A7">
        <v>40000</v>
      </c>
      <c r="B7" t="s">
        <v>48</v>
      </c>
      <c r="C7">
        <v>40000</v>
      </c>
      <c r="D7" t="s">
        <v>48</v>
      </c>
      <c r="E7" t="s">
        <v>25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43622.9</v>
      </c>
      <c r="O7">
        <v>40000</v>
      </c>
      <c r="P7" t="s">
        <v>48</v>
      </c>
      <c r="Q7" t="s">
        <v>25</v>
      </c>
      <c r="R7">
        <v>731</v>
      </c>
      <c r="S7">
        <v>129</v>
      </c>
      <c r="T7">
        <v>21.428571428571427</v>
      </c>
      <c r="U7">
        <v>1778</v>
      </c>
      <c r="V7">
        <v>22.26</v>
      </c>
      <c r="W7">
        <v>9.9</v>
      </c>
      <c r="X7">
        <v>-0.65000000000000036</v>
      </c>
      <c r="Y7">
        <v>-6.1611374407582975</v>
      </c>
      <c r="Z7">
        <v>43622.9</v>
      </c>
    </row>
    <row r="8" spans="1:26" x14ac:dyDescent="0.25">
      <c r="A8">
        <v>40500</v>
      </c>
      <c r="B8" t="s">
        <v>48</v>
      </c>
      <c r="C8">
        <v>40500</v>
      </c>
      <c r="D8" t="s">
        <v>48</v>
      </c>
      <c r="E8" t="s">
        <v>25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43622.9</v>
      </c>
      <c r="O8">
        <v>40500</v>
      </c>
      <c r="P8" t="s">
        <v>48</v>
      </c>
      <c r="Q8" t="s">
        <v>25</v>
      </c>
      <c r="R8">
        <v>376</v>
      </c>
      <c r="S8">
        <v>242</v>
      </c>
      <c r="T8">
        <v>180.59701492537312</v>
      </c>
      <c r="U8">
        <v>834</v>
      </c>
      <c r="V8">
        <v>19.920000000000002</v>
      </c>
      <c r="W8">
        <v>11.05</v>
      </c>
      <c r="X8">
        <v>-1.8999999999999984</v>
      </c>
      <c r="Y8">
        <v>-14.671814671814662</v>
      </c>
      <c r="Z8">
        <v>43622.9</v>
      </c>
    </row>
    <row r="9" spans="1:26" x14ac:dyDescent="0.25">
      <c r="A9">
        <v>40900</v>
      </c>
      <c r="B9" t="s">
        <v>48</v>
      </c>
      <c r="C9">
        <v>40900</v>
      </c>
      <c r="D9" t="s">
        <v>48</v>
      </c>
      <c r="E9" t="s">
        <v>25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43622.9</v>
      </c>
      <c r="O9">
        <v>40900</v>
      </c>
      <c r="P9" t="s">
        <v>48</v>
      </c>
      <c r="Q9" t="s">
        <v>25</v>
      </c>
      <c r="R9">
        <v>120</v>
      </c>
      <c r="S9">
        <v>109</v>
      </c>
      <c r="T9">
        <v>990.90909090909076</v>
      </c>
      <c r="U9">
        <v>426</v>
      </c>
      <c r="V9">
        <v>18.46</v>
      </c>
      <c r="W9">
        <v>14.15</v>
      </c>
      <c r="X9">
        <v>-3.5999999999999996</v>
      </c>
      <c r="Y9">
        <v>-20.281690140845068</v>
      </c>
      <c r="Z9">
        <v>43622.9</v>
      </c>
    </row>
    <row r="10" spans="1:26" x14ac:dyDescent="0.25">
      <c r="A10">
        <v>41000</v>
      </c>
      <c r="B10" t="s">
        <v>48</v>
      </c>
      <c r="C10">
        <v>41000</v>
      </c>
      <c r="D10" t="s">
        <v>48</v>
      </c>
      <c r="E10" t="s">
        <v>25</v>
      </c>
      <c r="F10">
        <v>8</v>
      </c>
      <c r="G10">
        <v>7</v>
      </c>
      <c r="H10">
        <v>700</v>
      </c>
      <c r="I10">
        <v>7</v>
      </c>
      <c r="J10">
        <v>0</v>
      </c>
      <c r="K10">
        <v>2747.15</v>
      </c>
      <c r="L10">
        <v>-52.849999999999909</v>
      </c>
      <c r="M10">
        <v>-1.8874999999999968</v>
      </c>
      <c r="N10">
        <v>43622.9</v>
      </c>
      <c r="O10">
        <v>41000</v>
      </c>
      <c r="P10" t="s">
        <v>48</v>
      </c>
      <c r="Q10" t="s">
        <v>25</v>
      </c>
      <c r="R10">
        <v>2023</v>
      </c>
      <c r="S10">
        <v>1356</v>
      </c>
      <c r="T10">
        <v>203.29835082458771</v>
      </c>
      <c r="U10">
        <v>10453</v>
      </c>
      <c r="V10">
        <v>18.260000000000002</v>
      </c>
      <c r="W10">
        <v>15.95</v>
      </c>
      <c r="X10">
        <v>-0.40000000000000219</v>
      </c>
      <c r="Y10">
        <v>-2.4464831804281473</v>
      </c>
      <c r="Z10">
        <v>43622.9</v>
      </c>
    </row>
    <row r="11" spans="1:26" x14ac:dyDescent="0.25">
      <c r="A11">
        <v>41100</v>
      </c>
      <c r="B11" t="s">
        <v>48</v>
      </c>
      <c r="C11">
        <v>41100</v>
      </c>
      <c r="D11" t="s">
        <v>48</v>
      </c>
      <c r="E11" t="s">
        <v>25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43622.9</v>
      </c>
      <c r="O11">
        <v>41100</v>
      </c>
      <c r="P11" t="s">
        <v>48</v>
      </c>
      <c r="Q11" t="s">
        <v>25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43622.9</v>
      </c>
    </row>
    <row r="12" spans="1:26" x14ac:dyDescent="0.25">
      <c r="A12">
        <v>41200</v>
      </c>
      <c r="B12" t="s">
        <v>48</v>
      </c>
      <c r="C12">
        <v>41200</v>
      </c>
      <c r="D12" t="s">
        <v>48</v>
      </c>
      <c r="E12" t="s">
        <v>25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43622.9</v>
      </c>
      <c r="O12">
        <v>41200</v>
      </c>
      <c r="P12" t="s">
        <v>48</v>
      </c>
      <c r="Q12" t="s">
        <v>25</v>
      </c>
      <c r="R12">
        <v>80</v>
      </c>
      <c r="S12">
        <v>72</v>
      </c>
      <c r="T12">
        <v>900</v>
      </c>
      <c r="U12">
        <v>1384</v>
      </c>
      <c r="V12">
        <v>17.37</v>
      </c>
      <c r="W12">
        <v>17.350000000000001</v>
      </c>
      <c r="X12">
        <v>-1.3999999999999986</v>
      </c>
      <c r="Y12">
        <v>-7.4666666666666588</v>
      </c>
      <c r="Z12">
        <v>43622.9</v>
      </c>
    </row>
    <row r="13" spans="1:26" x14ac:dyDescent="0.25">
      <c r="A13">
        <v>41300</v>
      </c>
      <c r="B13" t="s">
        <v>48</v>
      </c>
      <c r="C13">
        <v>41300</v>
      </c>
      <c r="D13" t="s">
        <v>48</v>
      </c>
      <c r="E13" t="s">
        <v>25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43622.9</v>
      </c>
      <c r="O13">
        <v>41300</v>
      </c>
      <c r="P13" t="s">
        <v>48</v>
      </c>
      <c r="Q13" t="s">
        <v>25</v>
      </c>
      <c r="R13">
        <v>154</v>
      </c>
      <c r="S13">
        <v>150</v>
      </c>
      <c r="T13">
        <v>3750</v>
      </c>
      <c r="U13">
        <v>410</v>
      </c>
      <c r="V13">
        <v>16.89</v>
      </c>
      <c r="W13">
        <v>17.95</v>
      </c>
      <c r="X13">
        <v>-6.0500000000000007</v>
      </c>
      <c r="Y13">
        <v>-25.208333333333339</v>
      </c>
      <c r="Z13">
        <v>43622.9</v>
      </c>
    </row>
    <row r="14" spans="1:26" x14ac:dyDescent="0.25">
      <c r="A14">
        <v>41400</v>
      </c>
      <c r="B14" t="s">
        <v>48</v>
      </c>
      <c r="C14">
        <v>41400</v>
      </c>
      <c r="D14" t="s">
        <v>48</v>
      </c>
      <c r="E14" t="s">
        <v>25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43622.9</v>
      </c>
      <c r="O14">
        <v>41400</v>
      </c>
      <c r="P14" t="s">
        <v>48</v>
      </c>
      <c r="Q14" t="s">
        <v>25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43622.9</v>
      </c>
    </row>
    <row r="15" spans="1:26" x14ac:dyDescent="0.25">
      <c r="A15">
        <v>41500</v>
      </c>
      <c r="B15" t="s">
        <v>48</v>
      </c>
      <c r="C15">
        <v>41500</v>
      </c>
      <c r="D15" t="s">
        <v>48</v>
      </c>
      <c r="E15" t="s">
        <v>25</v>
      </c>
      <c r="F15">
        <v>23</v>
      </c>
      <c r="G15">
        <v>23</v>
      </c>
      <c r="H15">
        <v>0</v>
      </c>
      <c r="I15">
        <v>26</v>
      </c>
      <c r="J15">
        <v>0</v>
      </c>
      <c r="K15">
        <v>2189</v>
      </c>
      <c r="L15">
        <v>-710.94999999999982</v>
      </c>
      <c r="M15">
        <v>-24.51593992999879</v>
      </c>
      <c r="N15">
        <v>43622.9</v>
      </c>
      <c r="O15">
        <v>41500</v>
      </c>
      <c r="P15" t="s">
        <v>48</v>
      </c>
      <c r="Q15" t="s">
        <v>25</v>
      </c>
      <c r="R15">
        <v>2992</v>
      </c>
      <c r="S15">
        <v>1017</v>
      </c>
      <c r="T15">
        <v>51.493670886075947</v>
      </c>
      <c r="U15">
        <v>13230</v>
      </c>
      <c r="V15">
        <v>16.23</v>
      </c>
      <c r="W15">
        <v>21.7</v>
      </c>
      <c r="X15">
        <v>-2.3500000000000014</v>
      </c>
      <c r="Y15">
        <v>-9.7713097713097756</v>
      </c>
      <c r="Z15">
        <v>43622.9</v>
      </c>
    </row>
    <row r="16" spans="1:26" x14ac:dyDescent="0.25">
      <c r="A16">
        <v>41600</v>
      </c>
      <c r="B16" t="s">
        <v>48</v>
      </c>
      <c r="C16">
        <v>41600</v>
      </c>
      <c r="D16" t="s">
        <v>48</v>
      </c>
      <c r="E16" t="s">
        <v>25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43622.9</v>
      </c>
      <c r="O16">
        <v>41600</v>
      </c>
      <c r="P16" t="s">
        <v>48</v>
      </c>
      <c r="Q16" t="s">
        <v>25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43622.9</v>
      </c>
    </row>
    <row r="17" spans="1:26" x14ac:dyDescent="0.25">
      <c r="A17">
        <v>41700</v>
      </c>
      <c r="B17" t="s">
        <v>48</v>
      </c>
      <c r="C17">
        <v>41700</v>
      </c>
      <c r="D17" t="s">
        <v>48</v>
      </c>
      <c r="E17" t="s">
        <v>25</v>
      </c>
      <c r="F17">
        <v>2</v>
      </c>
      <c r="G17">
        <v>2</v>
      </c>
      <c r="H17">
        <v>0</v>
      </c>
      <c r="I17">
        <v>4</v>
      </c>
      <c r="J17">
        <v>15.38</v>
      </c>
      <c r="K17">
        <v>2095.1</v>
      </c>
      <c r="L17">
        <v>-649</v>
      </c>
      <c r="M17">
        <v>-23.65074159104989</v>
      </c>
      <c r="N17">
        <v>43622.9</v>
      </c>
      <c r="O17">
        <v>41700</v>
      </c>
      <c r="P17" t="s">
        <v>48</v>
      </c>
      <c r="Q17" t="s">
        <v>25</v>
      </c>
      <c r="R17">
        <v>171</v>
      </c>
      <c r="S17">
        <v>-21</v>
      </c>
      <c r="T17">
        <v>-10.9375</v>
      </c>
      <c r="U17">
        <v>1718</v>
      </c>
      <c r="V17">
        <v>15.69</v>
      </c>
      <c r="W17">
        <v>26.5</v>
      </c>
      <c r="X17">
        <v>-3.3500000000000014</v>
      </c>
      <c r="Y17">
        <v>-11.222780569514242</v>
      </c>
      <c r="Z17">
        <v>43622.9</v>
      </c>
    </row>
    <row r="18" spans="1:26" x14ac:dyDescent="0.25">
      <c r="A18">
        <v>41800</v>
      </c>
      <c r="B18" t="s">
        <v>48</v>
      </c>
      <c r="C18">
        <v>41800</v>
      </c>
      <c r="D18" t="s">
        <v>48</v>
      </c>
      <c r="E18" t="s">
        <v>25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43622.9</v>
      </c>
      <c r="O18">
        <v>41800</v>
      </c>
      <c r="P18" t="s">
        <v>48</v>
      </c>
      <c r="Q18" t="s">
        <v>25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43622.9</v>
      </c>
    </row>
    <row r="19" spans="1:26" x14ac:dyDescent="0.25">
      <c r="A19">
        <v>41900</v>
      </c>
      <c r="B19" t="s">
        <v>48</v>
      </c>
      <c r="C19">
        <v>41900</v>
      </c>
      <c r="D19" t="s">
        <v>48</v>
      </c>
      <c r="E19" t="s">
        <v>25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43622.9</v>
      </c>
      <c r="O19">
        <v>41900</v>
      </c>
      <c r="P19" t="s">
        <v>48</v>
      </c>
      <c r="Q19" t="s">
        <v>25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43622.9</v>
      </c>
    </row>
    <row r="20" spans="1:26" x14ac:dyDescent="0.25">
      <c r="A20">
        <v>42000</v>
      </c>
      <c r="B20" t="s">
        <v>48</v>
      </c>
      <c r="C20">
        <v>42000</v>
      </c>
      <c r="D20" t="s">
        <v>48</v>
      </c>
      <c r="E20" t="s">
        <v>25</v>
      </c>
      <c r="F20">
        <v>113</v>
      </c>
      <c r="G20">
        <v>113</v>
      </c>
      <c r="H20">
        <v>0</v>
      </c>
      <c r="I20">
        <v>189</v>
      </c>
      <c r="J20">
        <v>0</v>
      </c>
      <c r="K20">
        <v>1739</v>
      </c>
      <c r="L20">
        <v>-780.59999999999991</v>
      </c>
      <c r="M20">
        <v>-30.981108112398793</v>
      </c>
      <c r="N20">
        <v>43622.9</v>
      </c>
      <c r="O20">
        <v>42000</v>
      </c>
      <c r="P20" t="s">
        <v>48</v>
      </c>
      <c r="Q20" t="s">
        <v>25</v>
      </c>
      <c r="R20">
        <v>7587</v>
      </c>
      <c r="S20">
        <v>3199</v>
      </c>
      <c r="T20">
        <v>72.903372835004561</v>
      </c>
      <c r="U20">
        <v>32292</v>
      </c>
      <c r="V20">
        <v>14.81</v>
      </c>
      <c r="W20">
        <v>34</v>
      </c>
      <c r="X20">
        <v>-8.3999999999999986</v>
      </c>
      <c r="Y20">
        <v>-19.811320754716981</v>
      </c>
      <c r="Z20">
        <v>43622.9</v>
      </c>
    </row>
    <row r="21" spans="1:26" x14ac:dyDescent="0.25">
      <c r="A21">
        <v>42100</v>
      </c>
      <c r="B21" t="s">
        <v>48</v>
      </c>
      <c r="C21">
        <v>42100</v>
      </c>
      <c r="D21" t="s">
        <v>48</v>
      </c>
      <c r="E21" t="s">
        <v>25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43622.9</v>
      </c>
      <c r="O21">
        <v>42100</v>
      </c>
      <c r="P21" t="s">
        <v>48</v>
      </c>
      <c r="Q21" t="s">
        <v>25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43622.9</v>
      </c>
    </row>
    <row r="22" spans="1:26" x14ac:dyDescent="0.25">
      <c r="A22">
        <v>42200</v>
      </c>
      <c r="B22" t="s">
        <v>48</v>
      </c>
      <c r="C22">
        <v>42200</v>
      </c>
      <c r="D22" t="s">
        <v>48</v>
      </c>
      <c r="E22" t="s">
        <v>25</v>
      </c>
      <c r="F22">
        <v>31</v>
      </c>
      <c r="G22">
        <v>31</v>
      </c>
      <c r="H22">
        <v>0</v>
      </c>
      <c r="I22">
        <v>36</v>
      </c>
      <c r="J22">
        <v>15.84</v>
      </c>
      <c r="K22">
        <v>1640.7</v>
      </c>
      <c r="L22">
        <v>-731.3</v>
      </c>
      <c r="M22">
        <v>-30.830522765598651</v>
      </c>
      <c r="N22">
        <v>43622.9</v>
      </c>
      <c r="O22">
        <v>42200</v>
      </c>
      <c r="P22" t="s">
        <v>48</v>
      </c>
      <c r="Q22" t="s">
        <v>25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43622.9</v>
      </c>
    </row>
    <row r="23" spans="1:26" x14ac:dyDescent="0.25">
      <c r="A23">
        <v>42300</v>
      </c>
      <c r="B23" t="s">
        <v>48</v>
      </c>
      <c r="C23">
        <v>42300</v>
      </c>
      <c r="D23" t="s">
        <v>48</v>
      </c>
      <c r="E23" t="s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43622.9</v>
      </c>
      <c r="O23">
        <v>42300</v>
      </c>
      <c r="P23" t="s">
        <v>48</v>
      </c>
      <c r="Q23" t="s">
        <v>25</v>
      </c>
      <c r="R23">
        <v>424</v>
      </c>
      <c r="S23">
        <v>424</v>
      </c>
      <c r="T23">
        <v>0</v>
      </c>
      <c r="U23">
        <v>906</v>
      </c>
      <c r="V23">
        <v>13.91</v>
      </c>
      <c r="W23">
        <v>65.05</v>
      </c>
      <c r="X23">
        <v>-457.15</v>
      </c>
      <c r="Y23">
        <v>-87.543086939869781</v>
      </c>
      <c r="Z23">
        <v>43622.9</v>
      </c>
    </row>
    <row r="24" spans="1:26" x14ac:dyDescent="0.25">
      <c r="A24">
        <v>42400</v>
      </c>
      <c r="B24" t="s">
        <v>48</v>
      </c>
      <c r="C24">
        <v>42400</v>
      </c>
      <c r="D24" t="s">
        <v>48</v>
      </c>
      <c r="E24" t="s">
        <v>25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43622.9</v>
      </c>
      <c r="O24">
        <v>42400</v>
      </c>
      <c r="P24" t="s">
        <v>48</v>
      </c>
      <c r="Q24" t="s">
        <v>25</v>
      </c>
      <c r="R24">
        <v>151</v>
      </c>
      <c r="S24">
        <v>151</v>
      </c>
      <c r="T24">
        <v>0</v>
      </c>
      <c r="U24">
        <v>343</v>
      </c>
      <c r="V24">
        <v>13.72</v>
      </c>
      <c r="W24">
        <v>70.849999999999994</v>
      </c>
      <c r="X24">
        <v>-480.75</v>
      </c>
      <c r="Y24">
        <v>-87.15554749818709</v>
      </c>
      <c r="Z24">
        <v>43622.9</v>
      </c>
    </row>
    <row r="25" spans="1:26" x14ac:dyDescent="0.25">
      <c r="A25">
        <v>42500</v>
      </c>
      <c r="B25" t="s">
        <v>48</v>
      </c>
      <c r="C25">
        <v>42500</v>
      </c>
      <c r="D25" t="s">
        <v>48</v>
      </c>
      <c r="E25" t="s">
        <v>25</v>
      </c>
      <c r="F25">
        <v>108</v>
      </c>
      <c r="G25">
        <v>108</v>
      </c>
      <c r="H25">
        <v>0</v>
      </c>
      <c r="I25">
        <v>215</v>
      </c>
      <c r="J25">
        <v>0</v>
      </c>
      <c r="K25">
        <v>1273.5</v>
      </c>
      <c r="L25">
        <v>-888.90000000000009</v>
      </c>
      <c r="M25">
        <v>-41.107103218645953</v>
      </c>
      <c r="N25">
        <v>43622.9</v>
      </c>
      <c r="O25">
        <v>42500</v>
      </c>
      <c r="P25" t="s">
        <v>48</v>
      </c>
      <c r="Q25" t="s">
        <v>25</v>
      </c>
      <c r="R25">
        <v>4680</v>
      </c>
      <c r="S25">
        <v>4064</v>
      </c>
      <c r="T25">
        <v>659.74025974025972</v>
      </c>
      <c r="U25">
        <v>29687</v>
      </c>
      <c r="V25">
        <v>13.4</v>
      </c>
      <c r="W25">
        <v>64.5</v>
      </c>
      <c r="X25">
        <v>-9.6500000000000057</v>
      </c>
      <c r="Y25">
        <v>-13.014160485502366</v>
      </c>
      <c r="Z25">
        <v>43622.9</v>
      </c>
    </row>
    <row r="26" spans="1:26" x14ac:dyDescent="0.25">
      <c r="A26">
        <v>42600</v>
      </c>
      <c r="B26" t="s">
        <v>48</v>
      </c>
      <c r="C26">
        <v>42600</v>
      </c>
      <c r="D26" t="s">
        <v>48</v>
      </c>
      <c r="E26" t="s">
        <v>25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43622.9</v>
      </c>
      <c r="O26">
        <v>42600</v>
      </c>
      <c r="P26" t="s">
        <v>48</v>
      </c>
      <c r="Q26" t="s">
        <v>25</v>
      </c>
      <c r="R26">
        <v>1238</v>
      </c>
      <c r="S26">
        <v>1238</v>
      </c>
      <c r="T26">
        <v>0</v>
      </c>
      <c r="U26">
        <v>8805</v>
      </c>
      <c r="V26">
        <v>13.08</v>
      </c>
      <c r="W26">
        <v>72.05</v>
      </c>
      <c r="X26">
        <v>-541.95000000000005</v>
      </c>
      <c r="Y26">
        <v>-88.265472312703579</v>
      </c>
      <c r="Z26">
        <v>43622.9</v>
      </c>
    </row>
    <row r="27" spans="1:26" x14ac:dyDescent="0.25">
      <c r="A27">
        <v>42700</v>
      </c>
      <c r="B27" t="s">
        <v>48</v>
      </c>
      <c r="C27">
        <v>42700</v>
      </c>
      <c r="D27" t="s">
        <v>48</v>
      </c>
      <c r="E27" t="s">
        <v>25</v>
      </c>
      <c r="F27">
        <v>12</v>
      </c>
      <c r="G27">
        <v>12</v>
      </c>
      <c r="H27">
        <v>0</v>
      </c>
      <c r="I27">
        <v>15</v>
      </c>
      <c r="J27">
        <v>6.84</v>
      </c>
      <c r="K27">
        <v>1080.3499999999999</v>
      </c>
      <c r="L27">
        <v>-948.15</v>
      </c>
      <c r="M27">
        <v>-46.741434557554854</v>
      </c>
      <c r="N27">
        <v>43622.9</v>
      </c>
      <c r="O27">
        <v>42700</v>
      </c>
      <c r="P27" t="s">
        <v>48</v>
      </c>
      <c r="Q27" t="s">
        <v>25</v>
      </c>
      <c r="R27">
        <v>970</v>
      </c>
      <c r="S27">
        <v>970</v>
      </c>
      <c r="T27">
        <v>0</v>
      </c>
      <c r="U27">
        <v>6242</v>
      </c>
      <c r="V27">
        <v>12.98</v>
      </c>
      <c r="W27">
        <v>83.5</v>
      </c>
      <c r="X27">
        <v>-563.45000000000005</v>
      </c>
      <c r="Y27">
        <v>-87.093283870469122</v>
      </c>
      <c r="Z27">
        <v>43622.9</v>
      </c>
    </row>
    <row r="28" spans="1:26" x14ac:dyDescent="0.25">
      <c r="A28">
        <v>42800</v>
      </c>
      <c r="B28" t="s">
        <v>48</v>
      </c>
      <c r="C28">
        <v>42800</v>
      </c>
      <c r="D28" t="s">
        <v>48</v>
      </c>
      <c r="E28" t="s">
        <v>25</v>
      </c>
      <c r="F28">
        <v>38</v>
      </c>
      <c r="G28">
        <v>37</v>
      </c>
      <c r="H28">
        <v>3700</v>
      </c>
      <c r="I28">
        <v>113</v>
      </c>
      <c r="J28">
        <v>8.7799999999999994</v>
      </c>
      <c r="K28">
        <v>1003.4</v>
      </c>
      <c r="L28">
        <v>-1137.75</v>
      </c>
      <c r="M28">
        <v>-53.137332741750932</v>
      </c>
      <c r="N28">
        <v>43622.9</v>
      </c>
      <c r="O28">
        <v>42800</v>
      </c>
      <c r="P28" t="s">
        <v>48</v>
      </c>
      <c r="Q28" t="s">
        <v>25</v>
      </c>
      <c r="R28">
        <v>2580</v>
      </c>
      <c r="S28">
        <v>2580</v>
      </c>
      <c r="T28">
        <v>0</v>
      </c>
      <c r="U28">
        <v>10348</v>
      </c>
      <c r="V28">
        <v>12.79</v>
      </c>
      <c r="W28">
        <v>95.15</v>
      </c>
      <c r="X28">
        <v>-585.95000000000005</v>
      </c>
      <c r="Y28">
        <v>-86.029951548964917</v>
      </c>
      <c r="Z28">
        <v>43622.9</v>
      </c>
    </row>
    <row r="29" spans="1:26" x14ac:dyDescent="0.25">
      <c r="A29">
        <v>42900</v>
      </c>
      <c r="B29" t="s">
        <v>48</v>
      </c>
      <c r="C29">
        <v>42900</v>
      </c>
      <c r="D29" t="s">
        <v>48</v>
      </c>
      <c r="E29" t="s">
        <v>25</v>
      </c>
      <c r="F29">
        <v>176</v>
      </c>
      <c r="G29">
        <v>58</v>
      </c>
      <c r="H29">
        <v>49.152542372881364</v>
      </c>
      <c r="I29">
        <v>294</v>
      </c>
      <c r="J29">
        <v>9.76</v>
      </c>
      <c r="K29">
        <v>929.85</v>
      </c>
      <c r="L29">
        <v>-143.49999999999989</v>
      </c>
      <c r="M29">
        <v>-13.369357618670508</v>
      </c>
      <c r="N29">
        <v>43622.9</v>
      </c>
      <c r="O29">
        <v>42900</v>
      </c>
      <c r="P29" t="s">
        <v>48</v>
      </c>
      <c r="Q29" t="s">
        <v>25</v>
      </c>
      <c r="R29">
        <v>2039</v>
      </c>
      <c r="S29">
        <v>2010</v>
      </c>
      <c r="T29">
        <v>6931.0344827586205</v>
      </c>
      <c r="U29">
        <v>10274</v>
      </c>
      <c r="V29">
        <v>12.57</v>
      </c>
      <c r="W29">
        <v>111.2</v>
      </c>
      <c r="X29">
        <v>-4.8999999999999915</v>
      </c>
      <c r="Y29">
        <v>-4.2204995693367708</v>
      </c>
      <c r="Z29">
        <v>43622.9</v>
      </c>
    </row>
    <row r="30" spans="1:26" x14ac:dyDescent="0.25">
      <c r="A30">
        <v>43000</v>
      </c>
      <c r="B30" t="s">
        <v>48</v>
      </c>
      <c r="C30">
        <v>43000</v>
      </c>
      <c r="D30" t="s">
        <v>48</v>
      </c>
      <c r="E30" t="s">
        <v>25</v>
      </c>
      <c r="F30">
        <v>796</v>
      </c>
      <c r="G30">
        <v>545</v>
      </c>
      <c r="H30">
        <v>217.13147410358565</v>
      </c>
      <c r="I30">
        <v>3569</v>
      </c>
      <c r="J30">
        <v>10.53</v>
      </c>
      <c r="K30">
        <v>861.55</v>
      </c>
      <c r="L30">
        <v>-98</v>
      </c>
      <c r="M30">
        <v>-10.213120733677243</v>
      </c>
      <c r="N30">
        <v>43622.9</v>
      </c>
      <c r="O30">
        <v>43000</v>
      </c>
      <c r="P30" t="s">
        <v>48</v>
      </c>
      <c r="Q30" t="s">
        <v>25</v>
      </c>
      <c r="R30">
        <v>14275</v>
      </c>
      <c r="S30">
        <v>7945</v>
      </c>
      <c r="T30">
        <v>125.5134281200632</v>
      </c>
      <c r="U30">
        <v>76919</v>
      </c>
      <c r="V30">
        <v>12.45</v>
      </c>
      <c r="W30">
        <v>130.65</v>
      </c>
      <c r="X30">
        <v>-9.4499999999999886</v>
      </c>
      <c r="Y30">
        <v>-6.745182012847958</v>
      </c>
      <c r="Z30">
        <v>43622.9</v>
      </c>
    </row>
    <row r="31" spans="1:26" x14ac:dyDescent="0.25">
      <c r="A31">
        <v>43100</v>
      </c>
      <c r="B31" t="s">
        <v>48</v>
      </c>
      <c r="C31">
        <v>43100</v>
      </c>
      <c r="D31" t="s">
        <v>48</v>
      </c>
      <c r="E31" t="s">
        <v>25</v>
      </c>
      <c r="F31">
        <v>262</v>
      </c>
      <c r="G31">
        <v>154</v>
      </c>
      <c r="H31">
        <v>142.59259259259258</v>
      </c>
      <c r="I31">
        <v>1385</v>
      </c>
      <c r="J31">
        <v>10.37</v>
      </c>
      <c r="K31">
        <v>778.25</v>
      </c>
      <c r="L31">
        <v>-112.25</v>
      </c>
      <c r="M31">
        <v>-12.605277933745088</v>
      </c>
      <c r="N31">
        <v>43622.9</v>
      </c>
      <c r="O31">
        <v>43100</v>
      </c>
      <c r="P31" t="s">
        <v>48</v>
      </c>
      <c r="Q31" t="s">
        <v>25</v>
      </c>
      <c r="R31">
        <v>1692</v>
      </c>
      <c r="S31">
        <v>1292</v>
      </c>
      <c r="T31">
        <v>323</v>
      </c>
      <c r="U31">
        <v>11981</v>
      </c>
      <c r="V31">
        <v>12.36</v>
      </c>
      <c r="W31">
        <v>151.9</v>
      </c>
      <c r="X31">
        <v>-8.7999999999999829</v>
      </c>
      <c r="Y31">
        <v>-5.4760423148724229</v>
      </c>
      <c r="Z31">
        <v>43622.9</v>
      </c>
    </row>
    <row r="32" spans="1:26" x14ac:dyDescent="0.25">
      <c r="A32">
        <v>43200</v>
      </c>
      <c r="B32" t="s">
        <v>48</v>
      </c>
      <c r="C32">
        <v>43200</v>
      </c>
      <c r="D32" t="s">
        <v>48</v>
      </c>
      <c r="E32" t="s">
        <v>25</v>
      </c>
      <c r="F32">
        <v>146</v>
      </c>
      <c r="G32">
        <v>52</v>
      </c>
      <c r="H32">
        <v>55.319148936170215</v>
      </c>
      <c r="I32">
        <v>894</v>
      </c>
      <c r="J32">
        <v>9.9700000000000006</v>
      </c>
      <c r="K32">
        <v>691.65</v>
      </c>
      <c r="L32">
        <v>-105.45000000000005</v>
      </c>
      <c r="M32">
        <v>-13.229205871283408</v>
      </c>
      <c r="N32">
        <v>43622.9</v>
      </c>
      <c r="O32">
        <v>43200</v>
      </c>
      <c r="P32" t="s">
        <v>48</v>
      </c>
      <c r="Q32" t="s">
        <v>25</v>
      </c>
      <c r="R32">
        <v>1675</v>
      </c>
      <c r="S32">
        <v>934</v>
      </c>
      <c r="T32">
        <v>126.04588394062078</v>
      </c>
      <c r="U32">
        <v>22661</v>
      </c>
      <c r="V32">
        <v>12.15</v>
      </c>
      <c r="W32">
        <v>172.85</v>
      </c>
      <c r="X32">
        <v>-8.75</v>
      </c>
      <c r="Y32">
        <v>-4.8182819383259909</v>
      </c>
      <c r="Z32">
        <v>43622.9</v>
      </c>
    </row>
    <row r="33" spans="1:26" x14ac:dyDescent="0.25">
      <c r="A33">
        <v>43300</v>
      </c>
      <c r="B33" t="s">
        <v>48</v>
      </c>
      <c r="C33">
        <v>43300</v>
      </c>
      <c r="D33" t="s">
        <v>48</v>
      </c>
      <c r="E33" t="s">
        <v>25</v>
      </c>
      <c r="F33">
        <v>650</v>
      </c>
      <c r="G33">
        <v>439</v>
      </c>
      <c r="H33">
        <v>208.0568720379147</v>
      </c>
      <c r="I33">
        <v>3390</v>
      </c>
      <c r="J33">
        <v>10.26</v>
      </c>
      <c r="K33">
        <v>626</v>
      </c>
      <c r="L33">
        <v>-105.04999999999995</v>
      </c>
      <c r="M33">
        <v>-14.369742151699604</v>
      </c>
      <c r="N33">
        <v>43622.9</v>
      </c>
      <c r="O33">
        <v>43300</v>
      </c>
      <c r="P33" t="s">
        <v>48</v>
      </c>
      <c r="Q33" t="s">
        <v>25</v>
      </c>
      <c r="R33">
        <v>2677</v>
      </c>
      <c r="S33">
        <v>745</v>
      </c>
      <c r="T33">
        <v>38.561076604554863</v>
      </c>
      <c r="U33">
        <v>20332</v>
      </c>
      <c r="V33">
        <v>12.08</v>
      </c>
      <c r="W33">
        <v>201.25</v>
      </c>
      <c r="X33">
        <v>-5.0999999999999943</v>
      </c>
      <c r="Y33">
        <v>-2.4715289556578601</v>
      </c>
      <c r="Z33">
        <v>43622.9</v>
      </c>
    </row>
    <row r="34" spans="1:26" x14ac:dyDescent="0.25">
      <c r="A34">
        <v>43400</v>
      </c>
      <c r="B34" t="s">
        <v>48</v>
      </c>
      <c r="C34">
        <v>43400</v>
      </c>
      <c r="D34" t="s">
        <v>48</v>
      </c>
      <c r="E34" t="s">
        <v>25</v>
      </c>
      <c r="F34">
        <v>946</v>
      </c>
      <c r="G34">
        <v>688</v>
      </c>
      <c r="H34">
        <v>266.66666666666669</v>
      </c>
      <c r="I34">
        <v>8751</v>
      </c>
      <c r="J34">
        <v>10.31</v>
      </c>
      <c r="K34">
        <v>558.70000000000005</v>
      </c>
      <c r="L34">
        <v>-104.75</v>
      </c>
      <c r="M34">
        <v>-15.788680382847236</v>
      </c>
      <c r="N34">
        <v>43622.9</v>
      </c>
      <c r="O34">
        <v>43400</v>
      </c>
      <c r="P34" t="s">
        <v>48</v>
      </c>
      <c r="Q34" t="s">
        <v>25</v>
      </c>
      <c r="R34">
        <v>2621</v>
      </c>
      <c r="S34">
        <v>1463</v>
      </c>
      <c r="T34">
        <v>126.3385146804836</v>
      </c>
      <c r="U34">
        <v>43022</v>
      </c>
      <c r="V34">
        <v>12.15</v>
      </c>
      <c r="W34">
        <v>231.55</v>
      </c>
      <c r="X34">
        <v>-6.0499999999999829</v>
      </c>
      <c r="Y34">
        <v>-2.5462962962962892</v>
      </c>
      <c r="Z34">
        <v>43622.9</v>
      </c>
    </row>
    <row r="35" spans="1:26" x14ac:dyDescent="0.25">
      <c r="A35">
        <v>43500</v>
      </c>
      <c r="B35" t="s">
        <v>48</v>
      </c>
      <c r="C35">
        <v>43500</v>
      </c>
      <c r="D35" t="s">
        <v>48</v>
      </c>
      <c r="E35" t="s">
        <v>25</v>
      </c>
      <c r="F35">
        <v>4208</v>
      </c>
      <c r="G35">
        <v>2328</v>
      </c>
      <c r="H35">
        <v>123.82978723404256</v>
      </c>
      <c r="I35">
        <v>49773</v>
      </c>
      <c r="J35">
        <v>10.07</v>
      </c>
      <c r="K35">
        <v>494.95</v>
      </c>
      <c r="L35">
        <v>-96.2</v>
      </c>
      <c r="M35">
        <v>-16.273365474075952</v>
      </c>
      <c r="N35">
        <v>43622.9</v>
      </c>
      <c r="O35">
        <v>43500</v>
      </c>
      <c r="P35" t="s">
        <v>48</v>
      </c>
      <c r="Q35" t="s">
        <v>25</v>
      </c>
      <c r="R35">
        <v>9106</v>
      </c>
      <c r="S35">
        <v>6051</v>
      </c>
      <c r="T35">
        <v>198.06873977086744</v>
      </c>
      <c r="U35">
        <v>122230</v>
      </c>
      <c r="V35">
        <v>11.93</v>
      </c>
      <c r="W35">
        <v>267.35000000000002</v>
      </c>
      <c r="X35">
        <v>-3</v>
      </c>
      <c r="Y35">
        <v>-1.1096726465692619</v>
      </c>
      <c r="Z35">
        <v>43622.9</v>
      </c>
    </row>
    <row r="36" spans="1:26" x14ac:dyDescent="0.25">
      <c r="A36">
        <v>43600</v>
      </c>
      <c r="B36" t="s">
        <v>48</v>
      </c>
      <c r="C36">
        <v>43600</v>
      </c>
      <c r="D36" t="s">
        <v>48</v>
      </c>
      <c r="E36" t="s">
        <v>25</v>
      </c>
      <c r="F36">
        <v>2614</v>
      </c>
      <c r="G36">
        <v>2038</v>
      </c>
      <c r="H36">
        <v>353.81944444444446</v>
      </c>
      <c r="I36">
        <v>68688</v>
      </c>
      <c r="J36">
        <v>10.29</v>
      </c>
      <c r="K36">
        <v>433.95</v>
      </c>
      <c r="L36">
        <v>-94.000000000000057</v>
      </c>
      <c r="M36">
        <v>-17.804716355715513</v>
      </c>
      <c r="N36">
        <v>43622.9</v>
      </c>
      <c r="O36">
        <v>43600</v>
      </c>
      <c r="P36" t="s">
        <v>48</v>
      </c>
      <c r="Q36" t="s">
        <v>25</v>
      </c>
      <c r="R36">
        <v>4393</v>
      </c>
      <c r="S36">
        <v>3645</v>
      </c>
      <c r="T36">
        <v>487.29946524064172</v>
      </c>
      <c r="U36">
        <v>116048</v>
      </c>
      <c r="V36">
        <v>11.99</v>
      </c>
      <c r="W36">
        <v>310.5</v>
      </c>
      <c r="X36">
        <v>1.8000000000000114</v>
      </c>
      <c r="Y36">
        <v>0.58309037900875005</v>
      </c>
      <c r="Z36">
        <v>43622.9</v>
      </c>
    </row>
    <row r="37" spans="1:26" x14ac:dyDescent="0.25">
      <c r="A37">
        <v>43700</v>
      </c>
      <c r="B37" t="s">
        <v>48</v>
      </c>
      <c r="C37">
        <v>43700</v>
      </c>
      <c r="D37" t="s">
        <v>48</v>
      </c>
      <c r="E37" t="s">
        <v>25</v>
      </c>
      <c r="F37">
        <v>5302</v>
      </c>
      <c r="G37">
        <v>3702</v>
      </c>
      <c r="H37">
        <v>231.375</v>
      </c>
      <c r="I37">
        <v>99270</v>
      </c>
      <c r="J37">
        <v>10.220000000000001</v>
      </c>
      <c r="K37">
        <v>375</v>
      </c>
      <c r="L37">
        <v>-95.8</v>
      </c>
      <c r="M37">
        <v>-20.34834324553951</v>
      </c>
      <c r="N37">
        <v>43622.9</v>
      </c>
      <c r="O37">
        <v>43700</v>
      </c>
      <c r="P37" t="s">
        <v>48</v>
      </c>
      <c r="Q37" t="s">
        <v>25</v>
      </c>
      <c r="R37">
        <v>5145</v>
      </c>
      <c r="S37">
        <v>4033</v>
      </c>
      <c r="T37">
        <v>362.6798561151079</v>
      </c>
      <c r="U37">
        <v>126116</v>
      </c>
      <c r="V37">
        <v>11.92</v>
      </c>
      <c r="W37">
        <v>347.2</v>
      </c>
      <c r="X37">
        <v>-2.1000000000000227</v>
      </c>
      <c r="Y37">
        <v>-0.60120240480962572</v>
      </c>
      <c r="Z37">
        <v>43622.9</v>
      </c>
    </row>
    <row r="38" spans="1:26" x14ac:dyDescent="0.25">
      <c r="A38">
        <v>43800</v>
      </c>
      <c r="B38" t="s">
        <v>48</v>
      </c>
      <c r="C38">
        <v>43800</v>
      </c>
      <c r="D38" t="s">
        <v>48</v>
      </c>
      <c r="E38" t="s">
        <v>25</v>
      </c>
      <c r="F38">
        <v>6543</v>
      </c>
      <c r="G38">
        <v>4132</v>
      </c>
      <c r="H38">
        <v>171.38116963915388</v>
      </c>
      <c r="I38">
        <v>74641</v>
      </c>
      <c r="J38">
        <v>10.210000000000001</v>
      </c>
      <c r="K38">
        <v>327.7</v>
      </c>
      <c r="L38">
        <v>-87.150000000000034</v>
      </c>
      <c r="M38">
        <v>-21.007593105941915</v>
      </c>
      <c r="N38">
        <v>43622.9</v>
      </c>
      <c r="O38">
        <v>43800</v>
      </c>
      <c r="P38" t="s">
        <v>48</v>
      </c>
      <c r="Q38" t="s">
        <v>25</v>
      </c>
      <c r="R38">
        <v>3864</v>
      </c>
      <c r="S38">
        <v>2405</v>
      </c>
      <c r="T38">
        <v>164.8389307745031</v>
      </c>
      <c r="U38">
        <v>73533</v>
      </c>
      <c r="V38">
        <v>11.98</v>
      </c>
      <c r="W38">
        <v>399</v>
      </c>
      <c r="X38">
        <v>5.1999999999999886</v>
      </c>
      <c r="Y38">
        <v>1.3204672422549488</v>
      </c>
      <c r="Z38">
        <v>43622.9</v>
      </c>
    </row>
    <row r="39" spans="1:26" x14ac:dyDescent="0.25">
      <c r="A39">
        <v>43900</v>
      </c>
      <c r="B39" t="s">
        <v>48</v>
      </c>
      <c r="C39">
        <v>43900</v>
      </c>
      <c r="D39" t="s">
        <v>48</v>
      </c>
      <c r="E39" t="s">
        <v>25</v>
      </c>
      <c r="F39">
        <v>3846</v>
      </c>
      <c r="G39">
        <v>1376</v>
      </c>
      <c r="H39">
        <v>55.708502024291498</v>
      </c>
      <c r="I39">
        <v>43743</v>
      </c>
      <c r="J39">
        <v>10.14</v>
      </c>
      <c r="K39">
        <v>279</v>
      </c>
      <c r="L39">
        <v>-86.25</v>
      </c>
      <c r="M39">
        <v>-23.613963039014372</v>
      </c>
      <c r="N39">
        <v>43622.9</v>
      </c>
      <c r="O39">
        <v>43900</v>
      </c>
      <c r="P39" t="s">
        <v>48</v>
      </c>
      <c r="Q39" t="s">
        <v>25</v>
      </c>
      <c r="R39">
        <v>1134</v>
      </c>
      <c r="S39">
        <v>-600</v>
      </c>
      <c r="T39">
        <v>-34.602076124567475</v>
      </c>
      <c r="U39">
        <v>24306</v>
      </c>
      <c r="V39">
        <v>11.51</v>
      </c>
      <c r="W39">
        <v>442.15</v>
      </c>
      <c r="X39">
        <v>-0.10000000000002274</v>
      </c>
      <c r="Y39">
        <v>-2.2611644997178687E-2</v>
      </c>
      <c r="Z39">
        <v>43622.9</v>
      </c>
    </row>
    <row r="40" spans="1:26" x14ac:dyDescent="0.25">
      <c r="A40">
        <v>44000</v>
      </c>
      <c r="B40" t="s">
        <v>48</v>
      </c>
      <c r="C40">
        <v>44000</v>
      </c>
      <c r="D40" t="s">
        <v>48</v>
      </c>
      <c r="E40" t="s">
        <v>25</v>
      </c>
      <c r="F40">
        <v>10950</v>
      </c>
      <c r="G40">
        <v>4898</v>
      </c>
      <c r="H40">
        <v>80.931923331130207</v>
      </c>
      <c r="I40">
        <v>83040</v>
      </c>
      <c r="J40">
        <v>10.029999999999999</v>
      </c>
      <c r="K40">
        <v>230</v>
      </c>
      <c r="L40">
        <v>-83.350000000000023</v>
      </c>
      <c r="M40">
        <v>-26.599648954842831</v>
      </c>
      <c r="N40">
        <v>43622.9</v>
      </c>
      <c r="O40">
        <v>44000</v>
      </c>
      <c r="P40" t="s">
        <v>48</v>
      </c>
      <c r="Q40" t="s">
        <v>25</v>
      </c>
      <c r="R40">
        <v>4199</v>
      </c>
      <c r="S40">
        <v>304</v>
      </c>
      <c r="T40">
        <v>7.8048780487804876</v>
      </c>
      <c r="U40">
        <v>37376</v>
      </c>
      <c r="V40">
        <v>11.84</v>
      </c>
      <c r="W40">
        <v>510</v>
      </c>
      <c r="X40">
        <v>18.5</v>
      </c>
      <c r="Y40">
        <v>3.7639877924720246</v>
      </c>
      <c r="Z40">
        <v>43622.9</v>
      </c>
    </row>
    <row r="41" spans="1:26" x14ac:dyDescent="0.25">
      <c r="A41">
        <v>44100</v>
      </c>
      <c r="B41" t="s">
        <v>48</v>
      </c>
      <c r="C41">
        <v>44100</v>
      </c>
      <c r="D41" t="s">
        <v>48</v>
      </c>
      <c r="E41" t="s">
        <v>25</v>
      </c>
      <c r="F41">
        <v>1639</v>
      </c>
      <c r="G41">
        <v>724</v>
      </c>
      <c r="H41">
        <v>79.125683060109296</v>
      </c>
      <c r="I41">
        <v>17589</v>
      </c>
      <c r="J41">
        <v>10.08</v>
      </c>
      <c r="K41">
        <v>196.25</v>
      </c>
      <c r="L41">
        <v>-76.050000000000011</v>
      </c>
      <c r="M41">
        <v>-27.928755049577671</v>
      </c>
      <c r="N41">
        <v>43622.9</v>
      </c>
      <c r="O41">
        <v>44100</v>
      </c>
      <c r="P41" t="s">
        <v>48</v>
      </c>
      <c r="Q41" t="s">
        <v>25</v>
      </c>
      <c r="R41">
        <v>515</v>
      </c>
      <c r="S41">
        <v>-70</v>
      </c>
      <c r="T41">
        <v>-11.965811965811966</v>
      </c>
      <c r="U41">
        <v>7955</v>
      </c>
      <c r="V41">
        <v>11.83</v>
      </c>
      <c r="W41">
        <v>570.95000000000005</v>
      </c>
      <c r="X41">
        <v>23.150000000000091</v>
      </c>
      <c r="Y41">
        <v>4.2259948886455083</v>
      </c>
      <c r="Z41">
        <v>43622.9</v>
      </c>
    </row>
    <row r="42" spans="1:26" x14ac:dyDescent="0.25">
      <c r="A42">
        <v>44200</v>
      </c>
      <c r="B42" t="s">
        <v>48</v>
      </c>
      <c r="C42">
        <v>44200</v>
      </c>
      <c r="D42" t="s">
        <v>48</v>
      </c>
      <c r="E42" t="s">
        <v>25</v>
      </c>
      <c r="F42">
        <v>2039</v>
      </c>
      <c r="G42">
        <v>1068</v>
      </c>
      <c r="H42">
        <v>109.98970133882597</v>
      </c>
      <c r="I42">
        <v>31125</v>
      </c>
      <c r="J42">
        <v>10.07</v>
      </c>
      <c r="K42">
        <v>162.30000000000001</v>
      </c>
      <c r="L42">
        <v>-68.449999999999989</v>
      </c>
      <c r="M42">
        <v>-29.664138678223178</v>
      </c>
      <c r="N42">
        <v>43622.9</v>
      </c>
      <c r="O42">
        <v>44200</v>
      </c>
      <c r="P42" t="s">
        <v>48</v>
      </c>
      <c r="Q42" t="s">
        <v>25</v>
      </c>
      <c r="R42">
        <v>459</v>
      </c>
      <c r="S42">
        <v>64</v>
      </c>
      <c r="T42">
        <v>16.202531645569621</v>
      </c>
      <c r="U42">
        <v>3947</v>
      </c>
      <c r="V42">
        <v>8.8699999999999992</v>
      </c>
      <c r="W42">
        <v>549.5</v>
      </c>
      <c r="X42">
        <v>-61.200000000000045</v>
      </c>
      <c r="Y42">
        <v>-10.021287047650244</v>
      </c>
      <c r="Z42">
        <v>43622.9</v>
      </c>
    </row>
    <row r="43" spans="1:26" x14ac:dyDescent="0.25">
      <c r="A43">
        <v>44300</v>
      </c>
      <c r="B43" t="s">
        <v>48</v>
      </c>
      <c r="C43">
        <v>44300</v>
      </c>
      <c r="D43" t="s">
        <v>48</v>
      </c>
      <c r="E43" t="s">
        <v>25</v>
      </c>
      <c r="F43">
        <v>2560</v>
      </c>
      <c r="G43">
        <v>1947</v>
      </c>
      <c r="H43">
        <v>317.6182707993475</v>
      </c>
      <c r="I43">
        <v>18848</v>
      </c>
      <c r="J43">
        <v>9.9600000000000009</v>
      </c>
      <c r="K43">
        <v>132.55000000000001</v>
      </c>
      <c r="L43">
        <v>-64.349999999999994</v>
      </c>
      <c r="M43">
        <v>-32.681564245810051</v>
      </c>
      <c r="N43">
        <v>43622.9</v>
      </c>
      <c r="O43">
        <v>44300</v>
      </c>
      <c r="P43" t="s">
        <v>48</v>
      </c>
      <c r="Q43" t="s">
        <v>25</v>
      </c>
      <c r="R43">
        <v>263</v>
      </c>
      <c r="S43">
        <v>47</v>
      </c>
      <c r="T43">
        <v>21.75925925925926</v>
      </c>
      <c r="U43">
        <v>876</v>
      </c>
      <c r="V43">
        <v>12.39</v>
      </c>
      <c r="W43">
        <v>720.65</v>
      </c>
      <c r="X43">
        <v>49.600000000000023</v>
      </c>
      <c r="Y43">
        <v>7.3914015349079838</v>
      </c>
      <c r="Z43">
        <v>43622.9</v>
      </c>
    </row>
    <row r="44" spans="1:26" x14ac:dyDescent="0.25">
      <c r="A44">
        <v>44400</v>
      </c>
      <c r="B44" t="s">
        <v>48</v>
      </c>
      <c r="C44">
        <v>44400</v>
      </c>
      <c r="D44" t="s">
        <v>48</v>
      </c>
      <c r="E44" t="s">
        <v>25</v>
      </c>
      <c r="F44">
        <v>2714</v>
      </c>
      <c r="G44">
        <v>2107</v>
      </c>
      <c r="H44">
        <v>347.11696869851733</v>
      </c>
      <c r="I44">
        <v>18274</v>
      </c>
      <c r="J44">
        <v>9.98</v>
      </c>
      <c r="K44">
        <v>108.7</v>
      </c>
      <c r="L44">
        <v>-55.8</v>
      </c>
      <c r="M44">
        <v>-33.920972644376896</v>
      </c>
      <c r="N44">
        <v>43622.9</v>
      </c>
      <c r="O44">
        <v>44400</v>
      </c>
      <c r="P44" t="s">
        <v>48</v>
      </c>
      <c r="Q44" t="s">
        <v>25</v>
      </c>
      <c r="R44">
        <v>188</v>
      </c>
      <c r="S44">
        <v>17</v>
      </c>
      <c r="T44">
        <v>9.9415204678362556</v>
      </c>
      <c r="U44">
        <v>1067</v>
      </c>
      <c r="V44">
        <v>12.25</v>
      </c>
      <c r="W44">
        <v>787.85</v>
      </c>
      <c r="X44">
        <v>47.350000000000023</v>
      </c>
      <c r="Y44">
        <v>6.3943281566509151</v>
      </c>
      <c r="Z44">
        <v>43622.9</v>
      </c>
    </row>
    <row r="45" spans="1:26" x14ac:dyDescent="0.25">
      <c r="A45">
        <v>44500</v>
      </c>
      <c r="B45" t="s">
        <v>48</v>
      </c>
      <c r="C45">
        <v>44500</v>
      </c>
      <c r="D45" t="s">
        <v>48</v>
      </c>
      <c r="E45" t="s">
        <v>25</v>
      </c>
      <c r="F45">
        <v>11843</v>
      </c>
      <c r="G45">
        <v>7729</v>
      </c>
      <c r="H45">
        <v>187.87068546426835</v>
      </c>
      <c r="I45">
        <v>57251</v>
      </c>
      <c r="J45">
        <v>9.9499999999999993</v>
      </c>
      <c r="K45">
        <v>89.6</v>
      </c>
      <c r="L45">
        <v>-48.300000000000011</v>
      </c>
      <c r="M45">
        <v>-35.025380710659903</v>
      </c>
      <c r="N45">
        <v>43622.9</v>
      </c>
      <c r="O45">
        <v>44500</v>
      </c>
      <c r="P45" t="s">
        <v>48</v>
      </c>
      <c r="Q45" t="s">
        <v>25</v>
      </c>
      <c r="R45">
        <v>618</v>
      </c>
      <c r="S45">
        <v>56</v>
      </c>
      <c r="T45">
        <v>9.9644128113879002</v>
      </c>
      <c r="U45">
        <v>2930</v>
      </c>
      <c r="V45">
        <v>12.53</v>
      </c>
      <c r="W45">
        <v>869.6</v>
      </c>
      <c r="X45">
        <v>55.200000000000045</v>
      </c>
      <c r="Y45">
        <v>6.7779960707269211</v>
      </c>
      <c r="Z45">
        <v>43622.9</v>
      </c>
    </row>
    <row r="46" spans="1:26" x14ac:dyDescent="0.25">
      <c r="A46">
        <v>44600</v>
      </c>
      <c r="B46" t="s">
        <v>48</v>
      </c>
      <c r="C46">
        <v>44600</v>
      </c>
      <c r="D46" t="s">
        <v>48</v>
      </c>
      <c r="E46" t="s">
        <v>25</v>
      </c>
      <c r="F46">
        <v>2278</v>
      </c>
      <c r="G46">
        <v>1383</v>
      </c>
      <c r="H46">
        <v>154.52513966480447</v>
      </c>
      <c r="I46">
        <v>18798</v>
      </c>
      <c r="J46">
        <v>10.01</v>
      </c>
      <c r="K46">
        <v>71.349999999999994</v>
      </c>
      <c r="L46">
        <v>-43.650000000000006</v>
      </c>
      <c r="M46">
        <v>-37.956521739130437</v>
      </c>
      <c r="N46">
        <v>43622.9</v>
      </c>
      <c r="O46">
        <v>44600</v>
      </c>
      <c r="P46" t="s">
        <v>48</v>
      </c>
      <c r="Q46" t="s">
        <v>25</v>
      </c>
      <c r="R46">
        <v>73</v>
      </c>
      <c r="S46">
        <v>23</v>
      </c>
      <c r="T46">
        <v>46</v>
      </c>
      <c r="U46">
        <v>88</v>
      </c>
      <c r="V46">
        <v>12.01</v>
      </c>
      <c r="W46">
        <v>934.4</v>
      </c>
      <c r="X46">
        <v>97.149999999999977</v>
      </c>
      <c r="Y46">
        <v>11.603463720513584</v>
      </c>
      <c r="Z46">
        <v>43622.9</v>
      </c>
    </row>
    <row r="47" spans="1:26" x14ac:dyDescent="0.25">
      <c r="A47">
        <v>44700</v>
      </c>
      <c r="B47" t="s">
        <v>48</v>
      </c>
      <c r="C47">
        <v>44700</v>
      </c>
      <c r="D47" t="s">
        <v>48</v>
      </c>
      <c r="E47" t="s">
        <v>25</v>
      </c>
      <c r="F47">
        <v>5637</v>
      </c>
      <c r="G47">
        <v>4469</v>
      </c>
      <c r="H47">
        <v>382.61986301369865</v>
      </c>
      <c r="I47">
        <v>25834</v>
      </c>
      <c r="J47">
        <v>10.24</v>
      </c>
      <c r="K47">
        <v>61.05</v>
      </c>
      <c r="L47">
        <v>-35.650000000000006</v>
      </c>
      <c r="M47">
        <v>-36.866597724922443</v>
      </c>
      <c r="N47">
        <v>43622.9</v>
      </c>
      <c r="O47">
        <v>44700</v>
      </c>
      <c r="P47" t="s">
        <v>48</v>
      </c>
      <c r="Q47" t="s">
        <v>25</v>
      </c>
      <c r="R47">
        <v>23</v>
      </c>
      <c r="S47">
        <v>11</v>
      </c>
      <c r="T47">
        <v>91.666666666666686</v>
      </c>
      <c r="U47">
        <v>31</v>
      </c>
      <c r="V47">
        <v>13.96</v>
      </c>
      <c r="W47">
        <v>1060</v>
      </c>
      <c r="X47">
        <v>103.29999999999995</v>
      </c>
      <c r="Y47">
        <v>10.797533186996963</v>
      </c>
      <c r="Z47">
        <v>43622.9</v>
      </c>
    </row>
    <row r="48" spans="1:26" x14ac:dyDescent="0.25">
      <c r="A48">
        <v>44800</v>
      </c>
      <c r="B48" t="s">
        <v>48</v>
      </c>
      <c r="C48">
        <v>44800</v>
      </c>
      <c r="D48" t="s">
        <v>48</v>
      </c>
      <c r="E48" t="s">
        <v>25</v>
      </c>
      <c r="F48">
        <v>1472</v>
      </c>
      <c r="G48">
        <v>1472</v>
      </c>
      <c r="H48">
        <v>0</v>
      </c>
      <c r="I48">
        <v>9719</v>
      </c>
      <c r="J48">
        <v>10.28</v>
      </c>
      <c r="K48">
        <v>53.25</v>
      </c>
      <c r="L48">
        <v>-870.35</v>
      </c>
      <c r="M48">
        <v>-94.234517106972717</v>
      </c>
      <c r="N48">
        <v>43622.9</v>
      </c>
      <c r="O48">
        <v>44800</v>
      </c>
      <c r="P48" t="s">
        <v>48</v>
      </c>
      <c r="Q48" t="s">
        <v>25</v>
      </c>
      <c r="R48">
        <v>17</v>
      </c>
      <c r="S48">
        <v>17</v>
      </c>
      <c r="T48">
        <v>0</v>
      </c>
      <c r="U48">
        <v>50</v>
      </c>
      <c r="V48">
        <v>13.06</v>
      </c>
      <c r="W48">
        <v>1120</v>
      </c>
      <c r="X48">
        <v>-507.7000000000001</v>
      </c>
      <c r="Y48">
        <v>-31.191251459114088</v>
      </c>
      <c r="Z48">
        <v>43622.9</v>
      </c>
    </row>
    <row r="49" spans="1:26" x14ac:dyDescent="0.25">
      <c r="A49">
        <v>44900</v>
      </c>
      <c r="B49" t="s">
        <v>48</v>
      </c>
      <c r="C49">
        <v>44900</v>
      </c>
      <c r="D49" t="s">
        <v>48</v>
      </c>
      <c r="E49" t="s">
        <v>25</v>
      </c>
      <c r="F49">
        <v>1013</v>
      </c>
      <c r="G49">
        <v>1013</v>
      </c>
      <c r="H49">
        <v>0</v>
      </c>
      <c r="I49">
        <v>6140</v>
      </c>
      <c r="J49">
        <v>10.35</v>
      </c>
      <c r="K49">
        <v>39.6</v>
      </c>
      <c r="L49">
        <v>-845.15</v>
      </c>
      <c r="M49">
        <v>-95.524159367052846</v>
      </c>
      <c r="N49">
        <v>43622.9</v>
      </c>
      <c r="O49">
        <v>44900</v>
      </c>
      <c r="P49" t="s">
        <v>48</v>
      </c>
      <c r="Q49" t="s">
        <v>25</v>
      </c>
      <c r="R49">
        <v>12</v>
      </c>
      <c r="S49">
        <v>5</v>
      </c>
      <c r="T49">
        <v>71.428571428571431</v>
      </c>
      <c r="U49">
        <v>17</v>
      </c>
      <c r="V49">
        <v>14.9</v>
      </c>
      <c r="W49">
        <v>1242.3499999999999</v>
      </c>
      <c r="X49">
        <v>138.44999999999982</v>
      </c>
      <c r="Y49">
        <v>12.54189691095206</v>
      </c>
      <c r="Z49">
        <v>43622.9</v>
      </c>
    </row>
    <row r="50" spans="1:26" x14ac:dyDescent="0.25">
      <c r="A50">
        <v>45000</v>
      </c>
      <c r="B50" t="s">
        <v>48</v>
      </c>
      <c r="C50">
        <v>45000</v>
      </c>
      <c r="D50" t="s">
        <v>48</v>
      </c>
      <c r="E50" t="s">
        <v>25</v>
      </c>
      <c r="F50">
        <v>10230</v>
      </c>
      <c r="G50">
        <v>5476</v>
      </c>
      <c r="H50">
        <v>115.18721076987801</v>
      </c>
      <c r="I50">
        <v>44223</v>
      </c>
      <c r="J50">
        <v>10.57</v>
      </c>
      <c r="K50">
        <v>33.9</v>
      </c>
      <c r="L50">
        <v>-21.65</v>
      </c>
      <c r="M50">
        <v>-38.973897389738973</v>
      </c>
      <c r="N50">
        <v>43622.9</v>
      </c>
      <c r="O50">
        <v>45000</v>
      </c>
      <c r="P50" t="s">
        <v>48</v>
      </c>
      <c r="Q50" t="s">
        <v>25</v>
      </c>
      <c r="R50">
        <v>81</v>
      </c>
      <c r="S50">
        <v>62</v>
      </c>
      <c r="T50">
        <v>326.31578947368422</v>
      </c>
      <c r="U50">
        <v>353</v>
      </c>
      <c r="V50">
        <v>14.68</v>
      </c>
      <c r="W50">
        <v>1320.6</v>
      </c>
      <c r="X50">
        <v>114.39999999999986</v>
      </c>
      <c r="Y50">
        <v>9.4843309567235821</v>
      </c>
      <c r="Z50">
        <v>43622.9</v>
      </c>
    </row>
    <row r="51" spans="1:26" x14ac:dyDescent="0.25">
      <c r="A51">
        <v>45100</v>
      </c>
      <c r="B51" t="s">
        <v>48</v>
      </c>
      <c r="C51">
        <v>45100</v>
      </c>
      <c r="D51" t="s">
        <v>48</v>
      </c>
      <c r="E51" t="s">
        <v>25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43622.9</v>
      </c>
      <c r="O51">
        <v>45100</v>
      </c>
      <c r="P51" t="s">
        <v>48</v>
      </c>
      <c r="Q51" t="s">
        <v>25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43622.9</v>
      </c>
    </row>
    <row r="52" spans="1:26" x14ac:dyDescent="0.25">
      <c r="A52">
        <v>45200</v>
      </c>
      <c r="B52" t="s">
        <v>48</v>
      </c>
      <c r="C52">
        <v>45200</v>
      </c>
      <c r="D52" t="s">
        <v>48</v>
      </c>
      <c r="E52" t="s">
        <v>25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43622.9</v>
      </c>
      <c r="O52">
        <v>45200</v>
      </c>
      <c r="P52" t="s">
        <v>48</v>
      </c>
      <c r="Q52" t="s">
        <v>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43622.9</v>
      </c>
    </row>
    <row r="53" spans="1:26" x14ac:dyDescent="0.25">
      <c r="A53">
        <v>45300</v>
      </c>
      <c r="B53" t="s">
        <v>48</v>
      </c>
      <c r="C53">
        <v>45300</v>
      </c>
      <c r="D53" t="s">
        <v>48</v>
      </c>
      <c r="E53" t="s">
        <v>25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43622.9</v>
      </c>
      <c r="O53">
        <v>45300</v>
      </c>
      <c r="P53" t="s">
        <v>48</v>
      </c>
      <c r="Q53" t="s">
        <v>25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43622.9</v>
      </c>
    </row>
    <row r="54" spans="1:26" x14ac:dyDescent="0.25">
      <c r="A54">
        <v>45400</v>
      </c>
      <c r="B54" t="s">
        <v>48</v>
      </c>
      <c r="C54">
        <v>45400</v>
      </c>
      <c r="D54" t="s">
        <v>48</v>
      </c>
      <c r="E54" t="s">
        <v>25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43622.9</v>
      </c>
      <c r="O54">
        <v>45400</v>
      </c>
      <c r="P54" t="s">
        <v>48</v>
      </c>
      <c r="Q54" t="s">
        <v>25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43622.9</v>
      </c>
    </row>
    <row r="55" spans="1:26" x14ac:dyDescent="0.25">
      <c r="A55">
        <v>45500</v>
      </c>
      <c r="B55" t="s">
        <v>48</v>
      </c>
      <c r="C55">
        <v>45500</v>
      </c>
      <c r="D55" t="s">
        <v>48</v>
      </c>
      <c r="E55" t="s">
        <v>25</v>
      </c>
      <c r="F55">
        <v>1655</v>
      </c>
      <c r="G55">
        <v>1655</v>
      </c>
      <c r="H55">
        <v>0</v>
      </c>
      <c r="I55">
        <v>2188</v>
      </c>
      <c r="J55">
        <v>12.31</v>
      </c>
      <c r="K55">
        <v>20.399999999999999</v>
      </c>
      <c r="L55">
        <v>-656</v>
      </c>
      <c r="M55">
        <v>-96.98403311649912</v>
      </c>
      <c r="N55">
        <v>43622.9</v>
      </c>
      <c r="O55">
        <v>45500</v>
      </c>
      <c r="P55" t="s">
        <v>48</v>
      </c>
      <c r="Q55" t="s">
        <v>25</v>
      </c>
      <c r="R55">
        <v>15</v>
      </c>
      <c r="S55">
        <v>14</v>
      </c>
      <c r="T55">
        <v>1400</v>
      </c>
      <c r="U55">
        <v>41</v>
      </c>
      <c r="V55">
        <v>14.74</v>
      </c>
      <c r="W55">
        <v>1762</v>
      </c>
      <c r="X55">
        <v>142</v>
      </c>
      <c r="Y55">
        <v>8.7654320987654319</v>
      </c>
      <c r="Z55">
        <v>43622.9</v>
      </c>
    </row>
    <row r="56" spans="1:26" x14ac:dyDescent="0.25">
      <c r="A56">
        <v>45600</v>
      </c>
      <c r="B56" t="s">
        <v>48</v>
      </c>
      <c r="C56">
        <v>45600</v>
      </c>
      <c r="D56" t="s">
        <v>48</v>
      </c>
      <c r="E56" t="s">
        <v>25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43622.9</v>
      </c>
      <c r="O56">
        <v>45600</v>
      </c>
      <c r="P56" t="s">
        <v>48</v>
      </c>
      <c r="Q56" t="s">
        <v>25</v>
      </c>
      <c r="R56">
        <v>1</v>
      </c>
      <c r="S56">
        <v>0</v>
      </c>
      <c r="T56">
        <v>0</v>
      </c>
      <c r="U56">
        <v>0</v>
      </c>
      <c r="V56">
        <v>0</v>
      </c>
      <c r="W56">
        <v>1458.4</v>
      </c>
      <c r="X56">
        <v>0</v>
      </c>
      <c r="Y56">
        <v>0</v>
      </c>
      <c r="Z56">
        <v>43622.9</v>
      </c>
    </row>
    <row r="57" spans="1:26" x14ac:dyDescent="0.25">
      <c r="A57">
        <v>45700</v>
      </c>
      <c r="B57" t="s">
        <v>48</v>
      </c>
      <c r="C57">
        <v>45700</v>
      </c>
      <c r="D57" t="s">
        <v>48</v>
      </c>
      <c r="E57" t="s">
        <v>25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43622.9</v>
      </c>
      <c r="O57">
        <v>45700</v>
      </c>
      <c r="P57" t="s">
        <v>48</v>
      </c>
      <c r="Q57" t="s">
        <v>25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43622.9</v>
      </c>
    </row>
    <row r="58" spans="1:26" x14ac:dyDescent="0.25">
      <c r="A58">
        <v>45800</v>
      </c>
      <c r="B58" t="s">
        <v>48</v>
      </c>
      <c r="C58">
        <v>45800</v>
      </c>
      <c r="D58" t="s">
        <v>48</v>
      </c>
      <c r="E58" t="s">
        <v>25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43622.9</v>
      </c>
      <c r="O58">
        <v>45800</v>
      </c>
      <c r="P58" t="s">
        <v>48</v>
      </c>
      <c r="Q58" t="s">
        <v>25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43622.9</v>
      </c>
    </row>
    <row r="59" spans="1:26" x14ac:dyDescent="0.25">
      <c r="A59">
        <v>45900</v>
      </c>
      <c r="B59" t="s">
        <v>48</v>
      </c>
      <c r="C59">
        <v>45900</v>
      </c>
      <c r="D59" t="s">
        <v>48</v>
      </c>
      <c r="E59" t="s">
        <v>25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43622.9</v>
      </c>
      <c r="O59">
        <v>45900</v>
      </c>
      <c r="P59" t="s">
        <v>48</v>
      </c>
      <c r="Q59" t="s">
        <v>25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43622.9</v>
      </c>
    </row>
    <row r="60" spans="1:26" x14ac:dyDescent="0.25">
      <c r="A60">
        <v>46000</v>
      </c>
      <c r="B60" t="s">
        <v>48</v>
      </c>
      <c r="C60">
        <v>46000</v>
      </c>
      <c r="D60" t="s">
        <v>48</v>
      </c>
      <c r="E60" t="s">
        <v>25</v>
      </c>
      <c r="F60">
        <v>4487</v>
      </c>
      <c r="G60">
        <v>3322</v>
      </c>
      <c r="H60">
        <v>285.15021459227466</v>
      </c>
      <c r="I60">
        <v>21061</v>
      </c>
      <c r="J60">
        <v>14.33</v>
      </c>
      <c r="K60">
        <v>16</v>
      </c>
      <c r="L60">
        <v>2</v>
      </c>
      <c r="M60">
        <v>14.285714285714285</v>
      </c>
      <c r="N60">
        <v>43622.9</v>
      </c>
      <c r="O60">
        <v>46000</v>
      </c>
      <c r="P60" t="s">
        <v>48</v>
      </c>
      <c r="Q60" t="s">
        <v>25</v>
      </c>
      <c r="R60">
        <v>2</v>
      </c>
      <c r="S60">
        <v>2</v>
      </c>
      <c r="T60">
        <v>0</v>
      </c>
      <c r="U60">
        <v>4</v>
      </c>
      <c r="V60">
        <v>21.4</v>
      </c>
      <c r="W60">
        <v>2309.65</v>
      </c>
      <c r="X60">
        <v>-119.34999999999992</v>
      </c>
      <c r="Y60">
        <v>-4.9135446685878925</v>
      </c>
      <c r="Z60">
        <v>43622.9</v>
      </c>
    </row>
    <row r="61" spans="1:26" x14ac:dyDescent="0.25">
      <c r="A61">
        <v>46100</v>
      </c>
      <c r="B61" t="s">
        <v>48</v>
      </c>
      <c r="C61">
        <v>46100</v>
      </c>
      <c r="D61" t="s">
        <v>48</v>
      </c>
      <c r="E61" t="s">
        <v>25</v>
      </c>
      <c r="F61">
        <v>342</v>
      </c>
      <c r="G61">
        <v>183</v>
      </c>
      <c r="H61">
        <v>115.09433962264151</v>
      </c>
      <c r="I61">
        <v>1220</v>
      </c>
      <c r="J61">
        <v>14.25</v>
      </c>
      <c r="K61">
        <v>12.6</v>
      </c>
      <c r="L61">
        <v>-0.4000000000000003</v>
      </c>
      <c r="M61">
        <v>-3.0769230769230793</v>
      </c>
      <c r="N61">
        <v>43622.9</v>
      </c>
      <c r="O61">
        <v>46100</v>
      </c>
      <c r="P61" t="s">
        <v>48</v>
      </c>
      <c r="Q61" t="s">
        <v>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43622.9</v>
      </c>
    </row>
    <row r="62" spans="1:26" x14ac:dyDescent="0.25">
      <c r="A62">
        <v>46200</v>
      </c>
      <c r="B62" t="s">
        <v>48</v>
      </c>
      <c r="C62">
        <v>46200</v>
      </c>
      <c r="D62" t="s">
        <v>48</v>
      </c>
      <c r="E62" t="s">
        <v>25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43622.9</v>
      </c>
      <c r="O62">
        <v>46200</v>
      </c>
      <c r="P62" t="s">
        <v>48</v>
      </c>
      <c r="Q62" t="s">
        <v>25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43622.9</v>
      </c>
    </row>
    <row r="63" spans="1:26" x14ac:dyDescent="0.25">
      <c r="A63">
        <v>46300</v>
      </c>
      <c r="B63" t="s">
        <v>48</v>
      </c>
      <c r="C63">
        <v>46300</v>
      </c>
      <c r="D63" t="s">
        <v>48</v>
      </c>
      <c r="E63" t="s">
        <v>25</v>
      </c>
      <c r="F63">
        <v>8</v>
      </c>
      <c r="G63">
        <v>0</v>
      </c>
      <c r="H63">
        <v>0</v>
      </c>
      <c r="I63">
        <v>0</v>
      </c>
      <c r="J63">
        <v>0</v>
      </c>
      <c r="K63">
        <v>56</v>
      </c>
      <c r="L63">
        <v>0</v>
      </c>
      <c r="M63">
        <v>0</v>
      </c>
      <c r="N63">
        <v>43622.9</v>
      </c>
      <c r="O63">
        <v>46300</v>
      </c>
      <c r="P63" t="s">
        <v>48</v>
      </c>
      <c r="Q63" t="s">
        <v>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43622.9</v>
      </c>
    </row>
    <row r="64" spans="1:26" x14ac:dyDescent="0.25">
      <c r="A64">
        <v>46400</v>
      </c>
      <c r="B64" t="s">
        <v>48</v>
      </c>
      <c r="C64">
        <v>46400</v>
      </c>
      <c r="D64" t="s">
        <v>48</v>
      </c>
      <c r="E64" t="s">
        <v>25</v>
      </c>
      <c r="F64">
        <v>2</v>
      </c>
      <c r="G64">
        <v>0</v>
      </c>
      <c r="H64">
        <v>0</v>
      </c>
      <c r="I64">
        <v>0</v>
      </c>
      <c r="J64">
        <v>0</v>
      </c>
      <c r="K64">
        <v>62.25</v>
      </c>
      <c r="L64">
        <v>0</v>
      </c>
      <c r="M64">
        <v>0</v>
      </c>
      <c r="N64">
        <v>43622.9</v>
      </c>
      <c r="O64">
        <v>46400</v>
      </c>
      <c r="P64" t="s">
        <v>48</v>
      </c>
      <c r="Q64" t="s">
        <v>25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43622.9</v>
      </c>
    </row>
    <row r="65" spans="1:26" x14ac:dyDescent="0.25">
      <c r="A65">
        <v>46500</v>
      </c>
      <c r="B65" t="s">
        <v>48</v>
      </c>
      <c r="C65">
        <v>46500</v>
      </c>
      <c r="D65" t="s">
        <v>48</v>
      </c>
      <c r="E65" t="s">
        <v>25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43622.9</v>
      </c>
      <c r="O65">
        <v>46500</v>
      </c>
      <c r="P65" t="s">
        <v>48</v>
      </c>
      <c r="Q65" t="s">
        <v>25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43622.9</v>
      </c>
    </row>
    <row r="66" spans="1:26" x14ac:dyDescent="0.25">
      <c r="A66">
        <v>46600</v>
      </c>
      <c r="B66" t="s">
        <v>48</v>
      </c>
      <c r="C66">
        <v>46600</v>
      </c>
      <c r="D66" t="s">
        <v>48</v>
      </c>
      <c r="E66" t="s">
        <v>25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43622.9</v>
      </c>
      <c r="O66">
        <v>46600</v>
      </c>
      <c r="P66" t="s">
        <v>48</v>
      </c>
      <c r="Q66" t="s">
        <v>25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43622.9</v>
      </c>
    </row>
    <row r="67" spans="1:26" x14ac:dyDescent="0.25">
      <c r="A67">
        <v>46700</v>
      </c>
      <c r="B67" t="s">
        <v>48</v>
      </c>
      <c r="C67">
        <v>46700</v>
      </c>
      <c r="D67" t="s">
        <v>48</v>
      </c>
      <c r="E67" t="s">
        <v>25</v>
      </c>
      <c r="F67">
        <v>1</v>
      </c>
      <c r="G67">
        <v>0</v>
      </c>
      <c r="H67">
        <v>0</v>
      </c>
      <c r="I67">
        <v>0</v>
      </c>
      <c r="J67">
        <v>0</v>
      </c>
      <c r="K67">
        <v>95.5</v>
      </c>
      <c r="L67">
        <v>0</v>
      </c>
      <c r="M67">
        <v>0</v>
      </c>
      <c r="N67">
        <v>43622.9</v>
      </c>
      <c r="O67">
        <v>46700</v>
      </c>
      <c r="P67" t="s">
        <v>48</v>
      </c>
      <c r="Q67" t="s">
        <v>25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43622.9</v>
      </c>
    </row>
    <row r="68" spans="1:26" x14ac:dyDescent="0.25">
      <c r="A68">
        <v>46800</v>
      </c>
      <c r="B68" t="s">
        <v>48</v>
      </c>
      <c r="C68">
        <v>46800</v>
      </c>
      <c r="D68" t="s">
        <v>48</v>
      </c>
      <c r="E68" t="s">
        <v>25</v>
      </c>
      <c r="F68">
        <v>33</v>
      </c>
      <c r="G68">
        <v>32</v>
      </c>
      <c r="H68">
        <v>3200</v>
      </c>
      <c r="I68">
        <v>62</v>
      </c>
      <c r="J68">
        <v>16.899999999999999</v>
      </c>
      <c r="K68">
        <v>9.5</v>
      </c>
      <c r="L68">
        <v>-32</v>
      </c>
      <c r="M68">
        <v>-77.108433734939766</v>
      </c>
      <c r="N68">
        <v>43622.9</v>
      </c>
      <c r="O68">
        <v>46800</v>
      </c>
      <c r="P68" t="s">
        <v>48</v>
      </c>
      <c r="Q68" t="s">
        <v>25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43622.9</v>
      </c>
    </row>
    <row r="69" spans="1:26" x14ac:dyDescent="0.25">
      <c r="A69">
        <v>47000</v>
      </c>
      <c r="B69" t="s">
        <v>48</v>
      </c>
      <c r="C69">
        <v>47000</v>
      </c>
      <c r="D69" t="s">
        <v>48</v>
      </c>
      <c r="E69" t="s">
        <v>25</v>
      </c>
      <c r="F69">
        <v>2162</v>
      </c>
      <c r="G69">
        <v>999</v>
      </c>
      <c r="H69">
        <v>85.898538263112641</v>
      </c>
      <c r="I69">
        <v>7684</v>
      </c>
      <c r="J69">
        <v>17.5</v>
      </c>
      <c r="K69">
        <v>8.4</v>
      </c>
      <c r="L69">
        <v>0.60000000000000053</v>
      </c>
      <c r="M69">
        <v>7.6923076923076996</v>
      </c>
      <c r="N69">
        <v>43622.9</v>
      </c>
      <c r="O69">
        <v>47000</v>
      </c>
      <c r="P69" t="s">
        <v>48</v>
      </c>
      <c r="Q69" t="s">
        <v>25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43622.9</v>
      </c>
    </row>
    <row r="70" spans="1:26" x14ac:dyDescent="0.25">
      <c r="A70">
        <v>47500</v>
      </c>
      <c r="B70" t="s">
        <v>48</v>
      </c>
      <c r="C70">
        <v>47500</v>
      </c>
      <c r="D70" t="s">
        <v>48</v>
      </c>
      <c r="E70" t="s">
        <v>25</v>
      </c>
      <c r="F70">
        <v>178</v>
      </c>
      <c r="G70">
        <v>115</v>
      </c>
      <c r="H70">
        <v>182.53968253968253</v>
      </c>
      <c r="I70">
        <v>266</v>
      </c>
      <c r="J70">
        <v>19.239999999999998</v>
      </c>
      <c r="K70">
        <v>7.05</v>
      </c>
      <c r="L70">
        <v>0.20000000000000015</v>
      </c>
      <c r="M70">
        <v>2.9197080291970829</v>
      </c>
      <c r="N70">
        <v>43622.9</v>
      </c>
      <c r="O70">
        <v>47500</v>
      </c>
      <c r="P70" t="s">
        <v>48</v>
      </c>
      <c r="Q70" t="s">
        <v>25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43622.9</v>
      </c>
    </row>
    <row r="71" spans="1:26" x14ac:dyDescent="0.25">
      <c r="A71">
        <v>48000</v>
      </c>
      <c r="B71" t="s">
        <v>48</v>
      </c>
      <c r="C71">
        <v>48000</v>
      </c>
      <c r="D71" t="s">
        <v>48</v>
      </c>
      <c r="E71" t="s">
        <v>25</v>
      </c>
      <c r="F71">
        <v>420</v>
      </c>
      <c r="G71">
        <v>35</v>
      </c>
      <c r="H71">
        <v>9.0909090909090917</v>
      </c>
      <c r="I71">
        <v>678</v>
      </c>
      <c r="J71">
        <v>20.91</v>
      </c>
      <c r="K71">
        <v>6</v>
      </c>
      <c r="L71">
        <v>-0.5</v>
      </c>
      <c r="M71">
        <v>-7.6923076923076925</v>
      </c>
      <c r="N71">
        <v>43622.9</v>
      </c>
      <c r="O71">
        <v>48000</v>
      </c>
      <c r="P71" t="s">
        <v>48</v>
      </c>
      <c r="Q71" t="s">
        <v>25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43622.9</v>
      </c>
    </row>
    <row r="72" spans="1:26" x14ac:dyDescent="0.25">
      <c r="A72">
        <v>48500</v>
      </c>
      <c r="B72" t="s">
        <v>48</v>
      </c>
      <c r="C72">
        <v>48500</v>
      </c>
      <c r="D72" t="s">
        <v>48</v>
      </c>
      <c r="E72" t="s">
        <v>25</v>
      </c>
      <c r="F72">
        <v>129</v>
      </c>
      <c r="G72">
        <v>72</v>
      </c>
      <c r="H72">
        <v>126.31578947368421</v>
      </c>
      <c r="I72">
        <v>188</v>
      </c>
      <c r="J72">
        <v>22.92</v>
      </c>
      <c r="K72">
        <v>5.95</v>
      </c>
      <c r="L72">
        <v>-2</v>
      </c>
      <c r="M72">
        <v>-25.157232704402517</v>
      </c>
      <c r="N72">
        <v>43622.9</v>
      </c>
      <c r="O72">
        <v>48500</v>
      </c>
      <c r="P72" t="s">
        <v>48</v>
      </c>
      <c r="Q72" t="s">
        <v>25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43622.9</v>
      </c>
    </row>
    <row r="73" spans="1:26" x14ac:dyDescent="0.25">
      <c r="A73">
        <v>49000</v>
      </c>
      <c r="B73" t="s">
        <v>48</v>
      </c>
      <c r="C73">
        <v>49000</v>
      </c>
      <c r="D73" t="s">
        <v>48</v>
      </c>
      <c r="E73" t="s">
        <v>25</v>
      </c>
      <c r="F73">
        <v>74</v>
      </c>
      <c r="G73">
        <v>24</v>
      </c>
      <c r="H73">
        <v>48</v>
      </c>
      <c r="I73">
        <v>83</v>
      </c>
      <c r="J73">
        <v>24.83</v>
      </c>
      <c r="K73">
        <v>5.8</v>
      </c>
      <c r="L73">
        <v>-0.20000000000000015</v>
      </c>
      <c r="M73">
        <v>-3.3333333333333361</v>
      </c>
      <c r="N73">
        <v>43622.9</v>
      </c>
      <c r="O73">
        <v>49000</v>
      </c>
      <c r="P73" t="s">
        <v>48</v>
      </c>
      <c r="Q73" t="s">
        <v>25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43622.9</v>
      </c>
    </row>
    <row r="74" spans="1:26" x14ac:dyDescent="0.25">
      <c r="A74">
        <v>49500</v>
      </c>
      <c r="B74" t="s">
        <v>48</v>
      </c>
      <c r="C74">
        <v>49500</v>
      </c>
      <c r="D74" t="s">
        <v>48</v>
      </c>
      <c r="E74" t="s">
        <v>25</v>
      </c>
      <c r="F74">
        <v>71</v>
      </c>
      <c r="G74">
        <v>-11</v>
      </c>
      <c r="H74">
        <v>-13.414634146341465</v>
      </c>
      <c r="I74">
        <v>26</v>
      </c>
      <c r="J74">
        <v>26.4</v>
      </c>
      <c r="K74">
        <v>4.8</v>
      </c>
      <c r="L74">
        <v>-2</v>
      </c>
      <c r="M74">
        <v>-29.411764705882355</v>
      </c>
      <c r="N74">
        <v>43622.9</v>
      </c>
      <c r="O74">
        <v>49500</v>
      </c>
      <c r="P74" t="s">
        <v>48</v>
      </c>
      <c r="Q74" t="s">
        <v>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43622.9</v>
      </c>
    </row>
    <row r="75" spans="1:26" x14ac:dyDescent="0.25">
      <c r="A75">
        <v>50000</v>
      </c>
      <c r="B75" t="s">
        <v>48</v>
      </c>
      <c r="C75">
        <v>50000</v>
      </c>
      <c r="D75" t="s">
        <v>48</v>
      </c>
      <c r="E75" t="s">
        <v>25</v>
      </c>
      <c r="F75">
        <v>224</v>
      </c>
      <c r="G75">
        <v>91</v>
      </c>
      <c r="H75">
        <v>68.421052631578945</v>
      </c>
      <c r="I75">
        <v>221</v>
      </c>
      <c r="J75">
        <v>28.59</v>
      </c>
      <c r="K75">
        <v>5.65</v>
      </c>
      <c r="L75">
        <v>-0.69999999999999929</v>
      </c>
      <c r="M75">
        <v>-11.023622047244084</v>
      </c>
      <c r="N75">
        <v>43622.9</v>
      </c>
      <c r="O75">
        <v>50000</v>
      </c>
      <c r="P75" t="s">
        <v>48</v>
      </c>
      <c r="Q75" t="s">
        <v>25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43622.9</v>
      </c>
    </row>
    <row r="76" spans="1:26" x14ac:dyDescent="0.25">
      <c r="A76">
        <v>50500</v>
      </c>
      <c r="B76" t="s">
        <v>48</v>
      </c>
      <c r="C76">
        <v>50500</v>
      </c>
      <c r="D76" t="s">
        <v>48</v>
      </c>
      <c r="E76" t="s">
        <v>25</v>
      </c>
      <c r="F76">
        <v>2</v>
      </c>
      <c r="G76">
        <v>0</v>
      </c>
      <c r="H76">
        <v>0</v>
      </c>
      <c r="I76">
        <v>0</v>
      </c>
      <c r="J76">
        <v>0</v>
      </c>
      <c r="K76">
        <v>7.55</v>
      </c>
      <c r="L76">
        <v>0</v>
      </c>
      <c r="M76">
        <v>0</v>
      </c>
      <c r="N76">
        <v>43622.9</v>
      </c>
      <c r="O76">
        <v>50500</v>
      </c>
      <c r="P76" t="s">
        <v>48</v>
      </c>
      <c r="Q76" t="s">
        <v>25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43622.9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AA117"/>
  <sheetViews>
    <sheetView topLeftCell="I91" workbookViewId="0">
      <selection activeCell="B3" sqref="B3:AA117"/>
    </sheetView>
  </sheetViews>
  <sheetFormatPr defaultRowHeight="15" x14ac:dyDescent="0.25"/>
  <cols>
    <col min="1" max="2" width="12.7109375" bestFit="1" customWidth="1"/>
    <col min="3" max="3" width="13" bestFit="1" customWidth="1"/>
    <col min="4" max="4" width="16.7109375" bestFit="1" customWidth="1"/>
    <col min="5" max="5" width="17" bestFit="1" customWidth="1"/>
    <col min="6" max="6" width="16.85546875" bestFit="1" customWidth="1"/>
    <col min="7" max="7" width="18.85546875" bestFit="1" customWidth="1"/>
    <col min="8" max="8" width="27.42578125" bestFit="1" customWidth="1"/>
    <col min="9" max="9" width="28.7109375" bestFit="1" customWidth="1"/>
    <col min="10" max="10" width="24.85546875" bestFit="1" customWidth="1"/>
    <col min="11" max="11" width="22.42578125" bestFit="1" customWidth="1"/>
    <col min="12" max="12" width="14.7109375" bestFit="1" customWidth="1"/>
    <col min="13" max="13" width="13.42578125" bestFit="1" customWidth="1"/>
    <col min="14" max="14" width="14.85546875" bestFit="1" customWidth="1"/>
    <col min="15" max="15" width="22.140625" bestFit="1" customWidth="1"/>
    <col min="16" max="16" width="16.42578125" bestFit="1" customWidth="1"/>
    <col min="17" max="17" width="16.7109375" bestFit="1" customWidth="1"/>
    <col min="18" max="18" width="16.5703125" bestFit="1" customWidth="1"/>
    <col min="19" max="19" width="18.5703125" bestFit="1" customWidth="1"/>
    <col min="20" max="20" width="27.140625" bestFit="1" customWidth="1"/>
    <col min="21" max="21" width="28.42578125" bestFit="1" customWidth="1"/>
    <col min="22" max="22" width="24.5703125" bestFit="1" customWidth="1"/>
    <col min="23" max="23" width="22.140625" bestFit="1" customWidth="1"/>
    <col min="24" max="24" width="14.42578125" bestFit="1" customWidth="1"/>
    <col min="25" max="25" width="13.140625" bestFit="1" customWidth="1"/>
    <col min="26" max="26" width="14.5703125" bestFit="1" customWidth="1"/>
    <col min="27" max="27" width="21.85546875" bestFit="1" customWidth="1"/>
  </cols>
  <sheetData>
    <row r="3" spans="2:27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39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40</v>
      </c>
      <c r="V3" t="s">
        <v>18</v>
      </c>
      <c r="W3" t="s">
        <v>19</v>
      </c>
      <c r="X3" t="s">
        <v>20</v>
      </c>
      <c r="Y3" t="s">
        <v>21</v>
      </c>
      <c r="Z3" t="s">
        <v>22</v>
      </c>
      <c r="AA3" t="s">
        <v>23</v>
      </c>
    </row>
    <row r="4" spans="2:27" x14ac:dyDescent="0.25">
      <c r="B4">
        <v>31500</v>
      </c>
      <c r="C4" t="s">
        <v>50</v>
      </c>
      <c r="D4">
        <v>31500</v>
      </c>
      <c r="E4" t="s">
        <v>50</v>
      </c>
      <c r="F4" t="s">
        <v>25</v>
      </c>
      <c r="G4">
        <v>10</v>
      </c>
      <c r="H4">
        <v>8</v>
      </c>
      <c r="I4">
        <v>400</v>
      </c>
      <c r="J4">
        <v>12</v>
      </c>
      <c r="K4">
        <v>117.99</v>
      </c>
      <c r="L4">
        <v>12204.95</v>
      </c>
      <c r="M4">
        <v>-71.799999999999272</v>
      </c>
      <c r="N4">
        <v>-0.58484533773188563</v>
      </c>
      <c r="O4">
        <v>43622.9</v>
      </c>
      <c r="P4">
        <v>31500</v>
      </c>
      <c r="Q4" t="s">
        <v>50</v>
      </c>
      <c r="R4" t="s">
        <v>25</v>
      </c>
      <c r="S4">
        <v>19160</v>
      </c>
      <c r="T4">
        <v>18683</v>
      </c>
      <c r="U4">
        <v>3916.7714884696015</v>
      </c>
      <c r="V4">
        <v>264181</v>
      </c>
      <c r="W4">
        <v>86.24</v>
      </c>
      <c r="X4">
        <v>1.75</v>
      </c>
      <c r="Y4">
        <v>-5.0000000000000051E-2</v>
      </c>
      <c r="Z4">
        <v>-2.7777777777777799</v>
      </c>
      <c r="AA4">
        <v>43622.9</v>
      </c>
    </row>
    <row r="5" spans="2:27" x14ac:dyDescent="0.25">
      <c r="B5">
        <v>33000</v>
      </c>
      <c r="C5" t="s">
        <v>50</v>
      </c>
      <c r="D5">
        <v>33000</v>
      </c>
      <c r="E5" t="s">
        <v>50</v>
      </c>
      <c r="F5" t="s">
        <v>25</v>
      </c>
      <c r="G5">
        <v>1</v>
      </c>
      <c r="H5">
        <v>0</v>
      </c>
      <c r="I5">
        <v>0</v>
      </c>
      <c r="J5">
        <v>0</v>
      </c>
      <c r="K5">
        <v>0</v>
      </c>
      <c r="L5">
        <v>10881.85</v>
      </c>
      <c r="M5">
        <v>0</v>
      </c>
      <c r="N5">
        <v>0</v>
      </c>
      <c r="O5">
        <v>43622.9</v>
      </c>
      <c r="P5">
        <v>33000</v>
      </c>
      <c r="Q5" t="s">
        <v>50</v>
      </c>
      <c r="R5" t="s">
        <v>25</v>
      </c>
      <c r="S5">
        <v>6869</v>
      </c>
      <c r="T5">
        <v>6183</v>
      </c>
      <c r="U5">
        <v>901.31195335276959</v>
      </c>
      <c r="V5">
        <v>51554</v>
      </c>
      <c r="W5">
        <v>74.650000000000006</v>
      </c>
      <c r="X5">
        <v>1.75</v>
      </c>
      <c r="Y5">
        <v>-0.25</v>
      </c>
      <c r="Z5">
        <v>-12.5</v>
      </c>
      <c r="AA5">
        <v>43622.9</v>
      </c>
    </row>
    <row r="6" spans="2:27" x14ac:dyDescent="0.25">
      <c r="B6">
        <v>34000</v>
      </c>
      <c r="C6" t="s">
        <v>50</v>
      </c>
      <c r="D6">
        <v>34000</v>
      </c>
      <c r="E6" t="s">
        <v>50</v>
      </c>
      <c r="F6" t="s">
        <v>25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43622.9</v>
      </c>
      <c r="P6">
        <v>34000</v>
      </c>
      <c r="Q6" t="s">
        <v>50</v>
      </c>
      <c r="R6" t="s">
        <v>25</v>
      </c>
      <c r="S6">
        <v>5405</v>
      </c>
      <c r="T6">
        <v>5269</v>
      </c>
      <c r="U6">
        <v>3874.2647058823532</v>
      </c>
      <c r="V6">
        <v>33533</v>
      </c>
      <c r="W6">
        <v>68.58</v>
      </c>
      <c r="X6">
        <v>2.15</v>
      </c>
      <c r="Y6">
        <v>0.25</v>
      </c>
      <c r="Z6">
        <v>13.157894736842104</v>
      </c>
      <c r="AA6">
        <v>43622.9</v>
      </c>
    </row>
    <row r="7" spans="2:27" x14ac:dyDescent="0.25">
      <c r="B7">
        <v>34500</v>
      </c>
      <c r="C7" t="s">
        <v>50</v>
      </c>
      <c r="D7">
        <v>34500</v>
      </c>
      <c r="E7" t="s">
        <v>50</v>
      </c>
      <c r="F7" t="s">
        <v>25</v>
      </c>
      <c r="G7">
        <v>1</v>
      </c>
      <c r="H7">
        <v>0</v>
      </c>
      <c r="I7">
        <v>0</v>
      </c>
      <c r="J7">
        <v>0</v>
      </c>
      <c r="K7">
        <v>0</v>
      </c>
      <c r="L7">
        <v>9431.1</v>
      </c>
      <c r="M7">
        <v>0</v>
      </c>
      <c r="N7">
        <v>0</v>
      </c>
      <c r="O7">
        <v>43622.9</v>
      </c>
      <c r="P7">
        <v>34500</v>
      </c>
      <c r="Q7" t="s">
        <v>50</v>
      </c>
      <c r="R7" t="s">
        <v>25</v>
      </c>
      <c r="S7">
        <v>6107</v>
      </c>
      <c r="T7">
        <v>5968</v>
      </c>
      <c r="U7">
        <v>4293.5251798561148</v>
      </c>
      <c r="V7">
        <v>32134</v>
      </c>
      <c r="W7">
        <v>66.58</v>
      </c>
      <c r="X7">
        <v>2.85</v>
      </c>
      <c r="Y7">
        <v>0.90000000000000013</v>
      </c>
      <c r="Z7">
        <v>46.15384615384616</v>
      </c>
      <c r="AA7">
        <v>43622.9</v>
      </c>
    </row>
    <row r="8" spans="2:27" x14ac:dyDescent="0.25">
      <c r="B8">
        <v>35000</v>
      </c>
      <c r="C8" t="s">
        <v>50</v>
      </c>
      <c r="D8">
        <v>35000</v>
      </c>
      <c r="E8" t="s">
        <v>50</v>
      </c>
      <c r="F8" t="s">
        <v>25</v>
      </c>
      <c r="G8">
        <v>317</v>
      </c>
      <c r="H8">
        <v>0</v>
      </c>
      <c r="I8">
        <v>0</v>
      </c>
      <c r="J8">
        <v>8</v>
      </c>
      <c r="K8">
        <v>0</v>
      </c>
      <c r="L8">
        <v>8640</v>
      </c>
      <c r="M8">
        <v>-160</v>
      </c>
      <c r="N8">
        <v>-1.8181818181818179</v>
      </c>
      <c r="O8">
        <v>43622.9</v>
      </c>
      <c r="P8">
        <v>35000</v>
      </c>
      <c r="Q8" t="s">
        <v>50</v>
      </c>
      <c r="R8" t="s">
        <v>25</v>
      </c>
      <c r="S8">
        <v>8609</v>
      </c>
      <c r="T8">
        <v>7765</v>
      </c>
      <c r="U8">
        <v>920.02369668246445</v>
      </c>
      <c r="V8">
        <v>36392</v>
      </c>
      <c r="W8">
        <v>62.64</v>
      </c>
      <c r="X8">
        <v>2.65</v>
      </c>
      <c r="Y8">
        <v>0.5</v>
      </c>
      <c r="Z8">
        <v>23.255813953488371</v>
      </c>
      <c r="AA8">
        <v>43622.9</v>
      </c>
    </row>
    <row r="9" spans="2:27" x14ac:dyDescent="0.25">
      <c r="B9">
        <v>35500</v>
      </c>
      <c r="C9" t="s">
        <v>50</v>
      </c>
      <c r="D9">
        <v>35500</v>
      </c>
      <c r="E9" t="s">
        <v>50</v>
      </c>
      <c r="F9" t="s">
        <v>25</v>
      </c>
      <c r="G9">
        <v>119</v>
      </c>
      <c r="H9">
        <v>1</v>
      </c>
      <c r="I9">
        <v>0.84745762711864403</v>
      </c>
      <c r="J9">
        <v>2</v>
      </c>
      <c r="K9">
        <v>82.64</v>
      </c>
      <c r="L9">
        <v>8220.5</v>
      </c>
      <c r="M9">
        <v>-9.5</v>
      </c>
      <c r="N9">
        <v>-0.11543134872417984</v>
      </c>
      <c r="O9">
        <v>43622.9</v>
      </c>
      <c r="P9">
        <v>35500</v>
      </c>
      <c r="Q9" t="s">
        <v>50</v>
      </c>
      <c r="R9" t="s">
        <v>25</v>
      </c>
      <c r="S9">
        <v>3704</v>
      </c>
      <c r="T9">
        <v>3618</v>
      </c>
      <c r="U9">
        <v>4206.9767441860467</v>
      </c>
      <c r="V9">
        <v>17420</v>
      </c>
      <c r="W9">
        <v>59.89</v>
      </c>
      <c r="X9">
        <v>3.25</v>
      </c>
      <c r="Y9">
        <v>0.75</v>
      </c>
      <c r="Z9">
        <v>30</v>
      </c>
      <c r="AA9">
        <v>43622.9</v>
      </c>
    </row>
    <row r="10" spans="2:27" x14ac:dyDescent="0.25">
      <c r="B10">
        <v>36000</v>
      </c>
      <c r="C10" t="s">
        <v>50</v>
      </c>
      <c r="D10">
        <v>36000</v>
      </c>
      <c r="E10" t="s">
        <v>50</v>
      </c>
      <c r="F10" t="s">
        <v>25</v>
      </c>
      <c r="G10">
        <v>886</v>
      </c>
      <c r="H10">
        <v>-9</v>
      </c>
      <c r="I10">
        <v>-1.005586592178771</v>
      </c>
      <c r="J10">
        <v>12</v>
      </c>
      <c r="K10">
        <v>73.8</v>
      </c>
      <c r="L10">
        <v>7710</v>
      </c>
      <c r="M10">
        <v>0</v>
      </c>
      <c r="N10">
        <v>0</v>
      </c>
      <c r="O10">
        <v>43622.9</v>
      </c>
      <c r="P10">
        <v>36000</v>
      </c>
      <c r="Q10" t="s">
        <v>50</v>
      </c>
      <c r="R10" t="s">
        <v>25</v>
      </c>
      <c r="S10">
        <v>6311</v>
      </c>
      <c r="T10">
        <v>4118</v>
      </c>
      <c r="U10">
        <v>187.77929776561788</v>
      </c>
      <c r="V10">
        <v>26239</v>
      </c>
      <c r="W10">
        <v>56.13</v>
      </c>
      <c r="X10">
        <v>3</v>
      </c>
      <c r="Y10">
        <v>0.60000000000000009</v>
      </c>
      <c r="Z10">
        <v>25.000000000000007</v>
      </c>
      <c r="AA10">
        <v>43622.9</v>
      </c>
    </row>
    <row r="11" spans="2:27" x14ac:dyDescent="0.25">
      <c r="B11">
        <v>36500</v>
      </c>
      <c r="C11" t="s">
        <v>50</v>
      </c>
      <c r="D11">
        <v>36500</v>
      </c>
      <c r="E11" t="s">
        <v>50</v>
      </c>
      <c r="F11" t="s">
        <v>25</v>
      </c>
      <c r="G11">
        <v>135</v>
      </c>
      <c r="H11">
        <v>0</v>
      </c>
      <c r="I11">
        <v>0</v>
      </c>
      <c r="J11">
        <v>0</v>
      </c>
      <c r="K11">
        <v>0</v>
      </c>
      <c r="L11">
        <v>7422.35</v>
      </c>
      <c r="M11">
        <v>0</v>
      </c>
      <c r="N11">
        <v>0</v>
      </c>
      <c r="O11">
        <v>43622.9</v>
      </c>
      <c r="P11">
        <v>36500</v>
      </c>
      <c r="Q11" t="s">
        <v>50</v>
      </c>
      <c r="R11" t="s">
        <v>25</v>
      </c>
      <c r="S11">
        <v>4705</v>
      </c>
      <c r="T11">
        <v>4666</v>
      </c>
      <c r="U11">
        <v>11964.102564102564</v>
      </c>
      <c r="V11">
        <v>24058</v>
      </c>
      <c r="W11">
        <v>52.83</v>
      </c>
      <c r="X11">
        <v>3.3</v>
      </c>
      <c r="Y11">
        <v>0.64999999999999991</v>
      </c>
      <c r="Z11">
        <v>24.528301886792452</v>
      </c>
      <c r="AA11">
        <v>43622.9</v>
      </c>
    </row>
    <row r="12" spans="2:27" x14ac:dyDescent="0.25">
      <c r="B12">
        <v>37000</v>
      </c>
      <c r="C12" t="s">
        <v>50</v>
      </c>
      <c r="D12">
        <v>37000</v>
      </c>
      <c r="E12" t="s">
        <v>50</v>
      </c>
      <c r="F12" t="s">
        <v>25</v>
      </c>
      <c r="G12">
        <v>513</v>
      </c>
      <c r="H12">
        <v>-55</v>
      </c>
      <c r="I12">
        <v>-9.683098591549296</v>
      </c>
      <c r="J12">
        <v>55</v>
      </c>
      <c r="K12">
        <v>0</v>
      </c>
      <c r="L12">
        <v>6680</v>
      </c>
      <c r="M12">
        <v>-239.75</v>
      </c>
      <c r="N12">
        <v>-3.4647205462625092</v>
      </c>
      <c r="O12">
        <v>43622.9</v>
      </c>
      <c r="P12">
        <v>37000</v>
      </c>
      <c r="Q12" t="s">
        <v>50</v>
      </c>
      <c r="R12" t="s">
        <v>25</v>
      </c>
      <c r="S12">
        <v>9896</v>
      </c>
      <c r="T12">
        <v>7915</v>
      </c>
      <c r="U12">
        <v>399.5456839979808</v>
      </c>
      <c r="V12">
        <v>38353</v>
      </c>
      <c r="W12">
        <v>47.72</v>
      </c>
      <c r="X12">
        <v>2.75</v>
      </c>
      <c r="Y12">
        <v>4.9999999999999822E-2</v>
      </c>
      <c r="Z12">
        <v>1.8518518518518452</v>
      </c>
      <c r="AA12">
        <v>43622.9</v>
      </c>
    </row>
    <row r="13" spans="2:27" x14ac:dyDescent="0.25">
      <c r="B13">
        <v>37400</v>
      </c>
      <c r="C13" t="s">
        <v>50</v>
      </c>
      <c r="D13">
        <v>37400</v>
      </c>
      <c r="E13" t="s">
        <v>50</v>
      </c>
      <c r="F13" t="s">
        <v>25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43622.9</v>
      </c>
      <c r="P13">
        <v>37400</v>
      </c>
      <c r="Q13" t="s">
        <v>50</v>
      </c>
      <c r="R13" t="s">
        <v>25</v>
      </c>
      <c r="S13">
        <v>71</v>
      </c>
      <c r="T13">
        <v>71</v>
      </c>
      <c r="U13">
        <v>0</v>
      </c>
      <c r="V13">
        <v>611</v>
      </c>
      <c r="W13">
        <v>45.61</v>
      </c>
      <c r="X13">
        <v>2.85</v>
      </c>
      <c r="Y13">
        <v>-679.69999999999993</v>
      </c>
      <c r="Z13">
        <v>-99.582448172295074</v>
      </c>
      <c r="AA13">
        <v>43622.9</v>
      </c>
    </row>
    <row r="14" spans="2:27" x14ac:dyDescent="0.25">
      <c r="B14">
        <v>37500</v>
      </c>
      <c r="C14" t="s">
        <v>50</v>
      </c>
      <c r="D14">
        <v>37500</v>
      </c>
      <c r="E14" t="s">
        <v>50</v>
      </c>
      <c r="F14" t="s">
        <v>25</v>
      </c>
      <c r="G14">
        <v>64</v>
      </c>
      <c r="H14">
        <v>-1</v>
      </c>
      <c r="I14">
        <v>-1.5384615384615383</v>
      </c>
      <c r="J14">
        <v>1</v>
      </c>
      <c r="K14">
        <v>70.03</v>
      </c>
      <c r="L14">
        <v>6250.35</v>
      </c>
      <c r="M14">
        <v>-29.899999999999636</v>
      </c>
      <c r="N14">
        <v>-0.47609569682734981</v>
      </c>
      <c r="O14">
        <v>43622.9</v>
      </c>
      <c r="P14">
        <v>37500</v>
      </c>
      <c r="Q14" t="s">
        <v>50</v>
      </c>
      <c r="R14" t="s">
        <v>25</v>
      </c>
      <c r="S14">
        <v>5405</v>
      </c>
      <c r="T14">
        <v>2209</v>
      </c>
      <c r="U14">
        <v>69.117647058823536</v>
      </c>
      <c r="V14">
        <v>27869</v>
      </c>
      <c r="W14">
        <v>44.91</v>
      </c>
      <c r="X14">
        <v>2.75</v>
      </c>
      <c r="Y14">
        <v>-0.29999999999999982</v>
      </c>
      <c r="Z14">
        <v>-9.8360655737704885</v>
      </c>
      <c r="AA14">
        <v>43622.9</v>
      </c>
    </row>
    <row r="15" spans="2:27" x14ac:dyDescent="0.25">
      <c r="B15">
        <v>37600</v>
      </c>
      <c r="C15" t="s">
        <v>50</v>
      </c>
      <c r="D15">
        <v>37600</v>
      </c>
      <c r="E15" t="s">
        <v>50</v>
      </c>
      <c r="F15" t="s">
        <v>25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43622.9</v>
      </c>
      <c r="P15">
        <v>37600</v>
      </c>
      <c r="Q15" t="s">
        <v>50</v>
      </c>
      <c r="R15" t="s">
        <v>25</v>
      </c>
      <c r="S15">
        <v>184</v>
      </c>
      <c r="T15">
        <v>177</v>
      </c>
      <c r="U15">
        <v>2528.5714285714284</v>
      </c>
      <c r="V15">
        <v>1839</v>
      </c>
      <c r="W15">
        <v>44.82</v>
      </c>
      <c r="X15">
        <v>3.25</v>
      </c>
      <c r="Y15">
        <v>0.95000000000000018</v>
      </c>
      <c r="Z15">
        <v>41.304347826086968</v>
      </c>
      <c r="AA15">
        <v>43622.9</v>
      </c>
    </row>
    <row r="16" spans="2:27" x14ac:dyDescent="0.25">
      <c r="B16">
        <v>37700</v>
      </c>
      <c r="C16" t="s">
        <v>50</v>
      </c>
      <c r="D16">
        <v>37700</v>
      </c>
      <c r="E16" t="s">
        <v>50</v>
      </c>
      <c r="F16" t="s">
        <v>25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43622.9</v>
      </c>
      <c r="P16">
        <v>37700</v>
      </c>
      <c r="Q16" t="s">
        <v>50</v>
      </c>
      <c r="R16" t="s">
        <v>25</v>
      </c>
      <c r="S16">
        <v>53</v>
      </c>
      <c r="T16">
        <v>19</v>
      </c>
      <c r="U16">
        <v>55.882352941176471</v>
      </c>
      <c r="V16">
        <v>328</v>
      </c>
      <c r="W16">
        <v>42.35</v>
      </c>
      <c r="X16">
        <v>2.2000000000000002</v>
      </c>
      <c r="Y16">
        <v>-0.84999999999999964</v>
      </c>
      <c r="Z16">
        <v>-27.868852459016384</v>
      </c>
      <c r="AA16">
        <v>43622.9</v>
      </c>
    </row>
    <row r="17" spans="2:27" x14ac:dyDescent="0.25">
      <c r="B17">
        <v>37800</v>
      </c>
      <c r="C17" t="s">
        <v>50</v>
      </c>
      <c r="D17">
        <v>37800</v>
      </c>
      <c r="E17" t="s">
        <v>50</v>
      </c>
      <c r="F17" t="s">
        <v>25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43622.9</v>
      </c>
      <c r="P17">
        <v>37800</v>
      </c>
      <c r="Q17" t="s">
        <v>50</v>
      </c>
      <c r="R17" t="s">
        <v>25</v>
      </c>
      <c r="S17">
        <v>432</v>
      </c>
      <c r="T17">
        <v>425</v>
      </c>
      <c r="U17">
        <v>6071.4285714285716</v>
      </c>
      <c r="V17">
        <v>1528</v>
      </c>
      <c r="W17">
        <v>42.87</v>
      </c>
      <c r="X17">
        <v>2.9</v>
      </c>
      <c r="Y17">
        <v>-0.14999999999999991</v>
      </c>
      <c r="Z17">
        <v>-4.9180327868852434</v>
      </c>
      <c r="AA17">
        <v>43622.9</v>
      </c>
    </row>
    <row r="18" spans="2:27" x14ac:dyDescent="0.25">
      <c r="B18">
        <v>37900</v>
      </c>
      <c r="C18" t="s">
        <v>50</v>
      </c>
      <c r="D18">
        <v>37900</v>
      </c>
      <c r="E18" t="s">
        <v>50</v>
      </c>
      <c r="F18" t="s">
        <v>25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43622.9</v>
      </c>
      <c r="P18">
        <v>37900</v>
      </c>
      <c r="Q18" t="s">
        <v>50</v>
      </c>
      <c r="R18" t="s">
        <v>25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43622.9</v>
      </c>
    </row>
    <row r="19" spans="2:27" x14ac:dyDescent="0.25">
      <c r="B19">
        <v>38000</v>
      </c>
      <c r="C19" t="s">
        <v>50</v>
      </c>
      <c r="D19">
        <v>38000</v>
      </c>
      <c r="E19" t="s">
        <v>50</v>
      </c>
      <c r="F19" t="s">
        <v>25</v>
      </c>
      <c r="G19">
        <v>743</v>
      </c>
      <c r="H19">
        <v>-3</v>
      </c>
      <c r="I19">
        <v>-0.40214477211796246</v>
      </c>
      <c r="J19">
        <v>4</v>
      </c>
      <c r="K19">
        <v>64.42</v>
      </c>
      <c r="L19">
        <v>5748.15</v>
      </c>
      <c r="M19">
        <v>-8.9000000000005457</v>
      </c>
      <c r="N19">
        <v>-0.15459306415613111</v>
      </c>
      <c r="O19">
        <v>43622.9</v>
      </c>
      <c r="P19">
        <v>38000</v>
      </c>
      <c r="Q19" t="s">
        <v>50</v>
      </c>
      <c r="R19" t="s">
        <v>25</v>
      </c>
      <c r="S19">
        <v>7205</v>
      </c>
      <c r="T19">
        <v>3891</v>
      </c>
      <c r="U19">
        <v>117.41098370549186</v>
      </c>
      <c r="V19">
        <v>40407</v>
      </c>
      <c r="W19">
        <v>41.22</v>
      </c>
      <c r="X19">
        <v>2.8</v>
      </c>
      <c r="Y19">
        <v>-0.45000000000000018</v>
      </c>
      <c r="Z19">
        <v>-13.846153846153852</v>
      </c>
      <c r="AA19">
        <v>43622.9</v>
      </c>
    </row>
    <row r="20" spans="2:27" x14ac:dyDescent="0.25">
      <c r="B20">
        <v>38100</v>
      </c>
      <c r="C20" t="s">
        <v>50</v>
      </c>
      <c r="D20">
        <v>38100</v>
      </c>
      <c r="E20" t="s">
        <v>50</v>
      </c>
      <c r="F20" t="s">
        <v>25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43622.9</v>
      </c>
      <c r="P20">
        <v>38100</v>
      </c>
      <c r="Q20" t="s">
        <v>50</v>
      </c>
      <c r="R20" t="s">
        <v>25</v>
      </c>
      <c r="S20">
        <v>32</v>
      </c>
      <c r="T20">
        <v>26</v>
      </c>
      <c r="U20">
        <v>433.33333333333331</v>
      </c>
      <c r="V20">
        <v>62</v>
      </c>
      <c r="W20">
        <v>40.520000000000003</v>
      </c>
      <c r="X20">
        <v>2.75</v>
      </c>
      <c r="Y20">
        <v>-5.4</v>
      </c>
      <c r="Z20">
        <v>-66.25766871165645</v>
      </c>
      <c r="AA20">
        <v>43622.9</v>
      </c>
    </row>
    <row r="21" spans="2:27" x14ac:dyDescent="0.25">
      <c r="B21">
        <v>38200</v>
      </c>
      <c r="C21" t="s">
        <v>50</v>
      </c>
      <c r="D21">
        <v>38200</v>
      </c>
      <c r="E21" t="s">
        <v>50</v>
      </c>
      <c r="F21" t="s">
        <v>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43622.9</v>
      </c>
      <c r="P21">
        <v>38200</v>
      </c>
      <c r="Q21" t="s">
        <v>50</v>
      </c>
      <c r="R21" t="s">
        <v>25</v>
      </c>
      <c r="S21">
        <v>24</v>
      </c>
      <c r="T21">
        <v>15</v>
      </c>
      <c r="U21">
        <v>166.66666666666666</v>
      </c>
      <c r="V21">
        <v>60</v>
      </c>
      <c r="W21">
        <v>40.19</v>
      </c>
      <c r="X21">
        <v>3</v>
      </c>
      <c r="Y21">
        <v>-7.5</v>
      </c>
      <c r="Z21">
        <v>-71.428571428571431</v>
      </c>
      <c r="AA21">
        <v>43622.9</v>
      </c>
    </row>
    <row r="22" spans="2:27" x14ac:dyDescent="0.25">
      <c r="B22">
        <v>38300</v>
      </c>
      <c r="C22" t="s">
        <v>50</v>
      </c>
      <c r="D22">
        <v>38300</v>
      </c>
      <c r="E22" t="s">
        <v>50</v>
      </c>
      <c r="F22" t="s">
        <v>25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43622.9</v>
      </c>
      <c r="P22">
        <v>38300</v>
      </c>
      <c r="Q22" t="s">
        <v>50</v>
      </c>
      <c r="R22" t="s">
        <v>25</v>
      </c>
      <c r="S22">
        <v>7</v>
      </c>
      <c r="T22">
        <v>2</v>
      </c>
      <c r="U22">
        <v>40</v>
      </c>
      <c r="V22">
        <v>28</v>
      </c>
      <c r="W22">
        <v>39.49</v>
      </c>
      <c r="X22">
        <v>3</v>
      </c>
      <c r="Y22">
        <v>-8</v>
      </c>
      <c r="Z22">
        <v>-72.727272727272734</v>
      </c>
      <c r="AA22">
        <v>43622.9</v>
      </c>
    </row>
    <row r="23" spans="2:27" x14ac:dyDescent="0.25">
      <c r="B23">
        <v>38400</v>
      </c>
      <c r="C23" t="s">
        <v>50</v>
      </c>
      <c r="D23">
        <v>38400</v>
      </c>
      <c r="E23" t="s">
        <v>50</v>
      </c>
      <c r="F23" t="s">
        <v>25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43622.9</v>
      </c>
      <c r="P23">
        <v>38400</v>
      </c>
      <c r="Q23" t="s">
        <v>50</v>
      </c>
      <c r="R23" t="s">
        <v>25</v>
      </c>
      <c r="S23">
        <v>9</v>
      </c>
      <c r="T23">
        <v>4</v>
      </c>
      <c r="U23">
        <v>80</v>
      </c>
      <c r="V23">
        <v>25</v>
      </c>
      <c r="W23">
        <v>38.79</v>
      </c>
      <c r="X23">
        <v>3</v>
      </c>
      <c r="Y23">
        <v>-8.4</v>
      </c>
      <c r="Z23">
        <v>-73.68421052631578</v>
      </c>
      <c r="AA23">
        <v>43622.9</v>
      </c>
    </row>
    <row r="24" spans="2:27" x14ac:dyDescent="0.25">
      <c r="B24">
        <v>38500</v>
      </c>
      <c r="C24" t="s">
        <v>50</v>
      </c>
      <c r="D24">
        <v>38500</v>
      </c>
      <c r="E24" t="s">
        <v>50</v>
      </c>
      <c r="F24" t="s">
        <v>25</v>
      </c>
      <c r="G24">
        <v>89</v>
      </c>
      <c r="H24">
        <v>-2</v>
      </c>
      <c r="I24">
        <v>-2.197802197802198</v>
      </c>
      <c r="J24">
        <v>2</v>
      </c>
      <c r="K24">
        <v>57.27</v>
      </c>
      <c r="L24">
        <v>5238</v>
      </c>
      <c r="M24">
        <v>-60.850000000000371</v>
      </c>
      <c r="N24">
        <v>-1.1483623805165339</v>
      </c>
      <c r="O24">
        <v>43622.9</v>
      </c>
      <c r="P24">
        <v>38500</v>
      </c>
      <c r="Q24" t="s">
        <v>50</v>
      </c>
      <c r="R24" t="s">
        <v>25</v>
      </c>
      <c r="S24">
        <v>3172</v>
      </c>
      <c r="T24">
        <v>1346</v>
      </c>
      <c r="U24">
        <v>73.713033953997808</v>
      </c>
      <c r="V24">
        <v>21364</v>
      </c>
      <c r="W24">
        <v>37.659999999999997</v>
      </c>
      <c r="X24">
        <v>2.7</v>
      </c>
      <c r="Y24">
        <v>-0.94999999999999962</v>
      </c>
      <c r="Z24">
        <v>-26.027397260273965</v>
      </c>
      <c r="AA24">
        <v>43622.9</v>
      </c>
    </row>
    <row r="25" spans="2:27" x14ac:dyDescent="0.25">
      <c r="B25">
        <v>38600</v>
      </c>
      <c r="C25" t="s">
        <v>50</v>
      </c>
      <c r="D25">
        <v>38600</v>
      </c>
      <c r="E25" t="s">
        <v>50</v>
      </c>
      <c r="F25" t="s">
        <v>25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43622.9</v>
      </c>
      <c r="P25">
        <v>38600</v>
      </c>
      <c r="Q25" t="s">
        <v>50</v>
      </c>
      <c r="R25" t="s">
        <v>25</v>
      </c>
      <c r="S25">
        <v>44</v>
      </c>
      <c r="T25">
        <v>-9</v>
      </c>
      <c r="U25">
        <v>-16.981132075471699</v>
      </c>
      <c r="V25">
        <v>53</v>
      </c>
      <c r="W25">
        <v>37.03</v>
      </c>
      <c r="X25">
        <v>2.75</v>
      </c>
      <c r="Y25">
        <v>-7.9499999999999993</v>
      </c>
      <c r="Z25">
        <v>-74.299065420560751</v>
      </c>
      <c r="AA25">
        <v>43622.9</v>
      </c>
    </row>
    <row r="26" spans="2:27" x14ac:dyDescent="0.25">
      <c r="B26">
        <v>38700</v>
      </c>
      <c r="C26" t="s">
        <v>50</v>
      </c>
      <c r="D26">
        <v>38700</v>
      </c>
      <c r="E26" t="s">
        <v>50</v>
      </c>
      <c r="F26" t="s">
        <v>25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43622.9</v>
      </c>
      <c r="P26">
        <v>38700</v>
      </c>
      <c r="Q26" t="s">
        <v>50</v>
      </c>
      <c r="R26" t="s">
        <v>25</v>
      </c>
      <c r="S26">
        <v>65</v>
      </c>
      <c r="T26">
        <v>47</v>
      </c>
      <c r="U26">
        <v>261.11111111111109</v>
      </c>
      <c r="V26">
        <v>88</v>
      </c>
      <c r="W26">
        <v>35.97</v>
      </c>
      <c r="X26">
        <v>3.15</v>
      </c>
      <c r="Y26">
        <v>0.14999999999999991</v>
      </c>
      <c r="Z26">
        <v>4.9999999999999964</v>
      </c>
      <c r="AA26">
        <v>43622.9</v>
      </c>
    </row>
    <row r="27" spans="2:27" x14ac:dyDescent="0.25">
      <c r="B27">
        <v>38800</v>
      </c>
      <c r="C27" t="s">
        <v>50</v>
      </c>
      <c r="D27">
        <v>38800</v>
      </c>
      <c r="E27" t="s">
        <v>50</v>
      </c>
      <c r="F27" t="s">
        <v>25</v>
      </c>
      <c r="G27">
        <v>6</v>
      </c>
      <c r="H27">
        <v>0</v>
      </c>
      <c r="I27">
        <v>0</v>
      </c>
      <c r="J27">
        <v>0</v>
      </c>
      <c r="K27">
        <v>0</v>
      </c>
      <c r="L27">
        <v>4585.55</v>
      </c>
      <c r="M27">
        <v>0</v>
      </c>
      <c r="N27">
        <v>0</v>
      </c>
      <c r="O27">
        <v>43622.9</v>
      </c>
      <c r="P27">
        <v>38800</v>
      </c>
      <c r="Q27" t="s">
        <v>50</v>
      </c>
      <c r="R27" t="s">
        <v>25</v>
      </c>
      <c r="S27">
        <v>71</v>
      </c>
      <c r="T27">
        <v>54</v>
      </c>
      <c r="U27">
        <v>317.64705882352939</v>
      </c>
      <c r="V27">
        <v>118</v>
      </c>
      <c r="W27">
        <v>34.97</v>
      </c>
      <c r="X27">
        <v>2.2999999999999998</v>
      </c>
      <c r="Y27">
        <v>-0.75</v>
      </c>
      <c r="Z27">
        <v>-24.590163934426233</v>
      </c>
      <c r="AA27">
        <v>43622.9</v>
      </c>
    </row>
    <row r="28" spans="2:27" x14ac:dyDescent="0.25">
      <c r="B28">
        <v>38900</v>
      </c>
      <c r="C28" t="s">
        <v>50</v>
      </c>
      <c r="D28">
        <v>38900</v>
      </c>
      <c r="E28" t="s">
        <v>50</v>
      </c>
      <c r="F28" t="s">
        <v>25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43622.9</v>
      </c>
      <c r="P28">
        <v>38900</v>
      </c>
      <c r="Q28" t="s">
        <v>50</v>
      </c>
      <c r="R28" t="s">
        <v>25</v>
      </c>
      <c r="S28">
        <v>231</v>
      </c>
      <c r="T28">
        <v>192</v>
      </c>
      <c r="U28">
        <v>492.30769230769232</v>
      </c>
      <c r="V28">
        <v>781</v>
      </c>
      <c r="W28">
        <v>35.08</v>
      </c>
      <c r="X28">
        <v>3</v>
      </c>
      <c r="Y28">
        <v>-4</v>
      </c>
      <c r="Z28">
        <v>-57.142857142857139</v>
      </c>
      <c r="AA28">
        <v>43622.9</v>
      </c>
    </row>
    <row r="29" spans="2:27" x14ac:dyDescent="0.25">
      <c r="B29">
        <v>39000</v>
      </c>
      <c r="C29" t="s">
        <v>50</v>
      </c>
      <c r="D29">
        <v>39000</v>
      </c>
      <c r="E29" t="s">
        <v>50</v>
      </c>
      <c r="F29" t="s">
        <v>25</v>
      </c>
      <c r="G29">
        <v>1436</v>
      </c>
      <c r="H29">
        <v>-51</v>
      </c>
      <c r="I29">
        <v>-3.4297242770679222</v>
      </c>
      <c r="J29">
        <v>74</v>
      </c>
      <c r="K29">
        <v>0</v>
      </c>
      <c r="L29">
        <v>4686</v>
      </c>
      <c r="M29">
        <v>-104.80000000000018</v>
      </c>
      <c r="N29">
        <v>-2.1875260916757155</v>
      </c>
      <c r="O29">
        <v>43622.9</v>
      </c>
      <c r="P29">
        <v>39000</v>
      </c>
      <c r="Q29" t="s">
        <v>50</v>
      </c>
      <c r="R29" t="s">
        <v>25</v>
      </c>
      <c r="S29">
        <v>12295</v>
      </c>
      <c r="T29">
        <v>1580</v>
      </c>
      <c r="U29">
        <v>14.745683621091928</v>
      </c>
      <c r="V29">
        <v>50352</v>
      </c>
      <c r="W29">
        <v>34.520000000000003</v>
      </c>
      <c r="X29">
        <v>3.15</v>
      </c>
      <c r="Y29">
        <v>-0.5</v>
      </c>
      <c r="Z29">
        <v>-13.698630136986299</v>
      </c>
      <c r="AA29">
        <v>43622.9</v>
      </c>
    </row>
    <row r="30" spans="2:27" x14ac:dyDescent="0.25">
      <c r="B30">
        <v>39100</v>
      </c>
      <c r="C30" t="s">
        <v>50</v>
      </c>
      <c r="D30">
        <v>39100</v>
      </c>
      <c r="E30" t="s">
        <v>50</v>
      </c>
      <c r="F30" t="s">
        <v>25</v>
      </c>
      <c r="G30">
        <v>1</v>
      </c>
      <c r="H30">
        <v>0</v>
      </c>
      <c r="I30">
        <v>0</v>
      </c>
      <c r="J30">
        <v>0</v>
      </c>
      <c r="K30">
        <v>0</v>
      </c>
      <c r="L30">
        <v>4340</v>
      </c>
      <c r="M30">
        <v>0</v>
      </c>
      <c r="N30">
        <v>0</v>
      </c>
      <c r="O30">
        <v>43622.9</v>
      </c>
      <c r="P30">
        <v>39100</v>
      </c>
      <c r="Q30" t="s">
        <v>50</v>
      </c>
      <c r="R30" t="s">
        <v>25</v>
      </c>
      <c r="S30">
        <v>370</v>
      </c>
      <c r="T30">
        <v>353</v>
      </c>
      <c r="U30">
        <v>2076.4705882352941</v>
      </c>
      <c r="V30">
        <v>2681</v>
      </c>
      <c r="W30">
        <v>34</v>
      </c>
      <c r="X30">
        <v>3.1</v>
      </c>
      <c r="Y30">
        <v>0</v>
      </c>
      <c r="Z30">
        <v>0</v>
      </c>
      <c r="AA30">
        <v>43622.9</v>
      </c>
    </row>
    <row r="31" spans="2:27" x14ac:dyDescent="0.25">
      <c r="B31">
        <v>39200</v>
      </c>
      <c r="C31" t="s">
        <v>50</v>
      </c>
      <c r="D31">
        <v>39200</v>
      </c>
      <c r="E31" t="s">
        <v>50</v>
      </c>
      <c r="F31" t="s">
        <v>25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43622.9</v>
      </c>
      <c r="P31">
        <v>39200</v>
      </c>
      <c r="Q31" t="s">
        <v>50</v>
      </c>
      <c r="R31" t="s">
        <v>25</v>
      </c>
      <c r="S31">
        <v>95</v>
      </c>
      <c r="T31">
        <v>53</v>
      </c>
      <c r="U31">
        <v>126.1904761904762</v>
      </c>
      <c r="V31">
        <v>310</v>
      </c>
      <c r="W31">
        <v>33</v>
      </c>
      <c r="X31">
        <v>2.85</v>
      </c>
      <c r="Y31">
        <v>-4.1500000000000004</v>
      </c>
      <c r="Z31">
        <v>-59.285714285714285</v>
      </c>
      <c r="AA31">
        <v>43622.9</v>
      </c>
    </row>
    <row r="32" spans="2:27" x14ac:dyDescent="0.25">
      <c r="B32">
        <v>39300</v>
      </c>
      <c r="C32" t="s">
        <v>50</v>
      </c>
      <c r="D32">
        <v>39300</v>
      </c>
      <c r="E32" t="s">
        <v>50</v>
      </c>
      <c r="F32" t="s">
        <v>25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43622.9</v>
      </c>
      <c r="P32">
        <v>39300</v>
      </c>
      <c r="Q32" t="s">
        <v>50</v>
      </c>
      <c r="R32" t="s">
        <v>25</v>
      </c>
      <c r="S32">
        <v>173</v>
      </c>
      <c r="T32">
        <v>39</v>
      </c>
      <c r="U32">
        <v>29.104477611940297</v>
      </c>
      <c r="V32">
        <v>2430</v>
      </c>
      <c r="W32">
        <v>32.549999999999997</v>
      </c>
      <c r="X32">
        <v>3.25</v>
      </c>
      <c r="Y32">
        <v>-0.39999999999999991</v>
      </c>
      <c r="Z32">
        <v>-10.95890410958904</v>
      </c>
      <c r="AA32">
        <v>43622.9</v>
      </c>
    </row>
    <row r="33" spans="2:27" x14ac:dyDescent="0.25">
      <c r="B33">
        <v>39400</v>
      </c>
      <c r="C33" t="s">
        <v>50</v>
      </c>
      <c r="D33">
        <v>39400</v>
      </c>
      <c r="E33" t="s">
        <v>50</v>
      </c>
      <c r="F33" t="s">
        <v>25</v>
      </c>
      <c r="G33">
        <v>8</v>
      </c>
      <c r="H33">
        <v>0</v>
      </c>
      <c r="I33">
        <v>0</v>
      </c>
      <c r="J33">
        <v>0</v>
      </c>
      <c r="K33">
        <v>0</v>
      </c>
      <c r="L33">
        <v>4090</v>
      </c>
      <c r="M33">
        <v>0</v>
      </c>
      <c r="N33">
        <v>0</v>
      </c>
      <c r="O33">
        <v>43622.9</v>
      </c>
      <c r="P33">
        <v>39400</v>
      </c>
      <c r="Q33" t="s">
        <v>50</v>
      </c>
      <c r="R33" t="s">
        <v>25</v>
      </c>
      <c r="S33">
        <v>147</v>
      </c>
      <c r="T33">
        <v>113</v>
      </c>
      <c r="U33">
        <v>332.35294117647061</v>
      </c>
      <c r="V33">
        <v>2804</v>
      </c>
      <c r="W33">
        <v>31.96</v>
      </c>
      <c r="X33">
        <v>2.1</v>
      </c>
      <c r="Y33">
        <v>-1.75</v>
      </c>
      <c r="Z33">
        <v>-45.454545454545453</v>
      </c>
      <c r="AA33">
        <v>43622.9</v>
      </c>
    </row>
    <row r="34" spans="2:27" x14ac:dyDescent="0.25">
      <c r="B34">
        <v>39500</v>
      </c>
      <c r="C34" t="s">
        <v>50</v>
      </c>
      <c r="D34">
        <v>39500</v>
      </c>
      <c r="E34" t="s">
        <v>50</v>
      </c>
      <c r="F34" t="s">
        <v>25</v>
      </c>
      <c r="G34">
        <v>397</v>
      </c>
      <c r="H34">
        <v>-37</v>
      </c>
      <c r="I34">
        <v>-8.5253456221198149</v>
      </c>
      <c r="J34">
        <v>47</v>
      </c>
      <c r="K34">
        <v>24.43</v>
      </c>
      <c r="L34">
        <v>4188</v>
      </c>
      <c r="M34">
        <v>-73.949999999999818</v>
      </c>
      <c r="N34">
        <v>-1.7351212473163651</v>
      </c>
      <c r="O34">
        <v>43622.9</v>
      </c>
      <c r="P34">
        <v>39500</v>
      </c>
      <c r="Q34" t="s">
        <v>50</v>
      </c>
      <c r="R34" t="s">
        <v>25</v>
      </c>
      <c r="S34">
        <v>11792</v>
      </c>
      <c r="T34">
        <v>232</v>
      </c>
      <c r="U34">
        <v>2.0069204152249136</v>
      </c>
      <c r="V34">
        <v>62478</v>
      </c>
      <c r="W34">
        <v>31.54</v>
      </c>
      <c r="X34">
        <v>3.4</v>
      </c>
      <c r="Y34">
        <v>-0.35000000000000009</v>
      </c>
      <c r="Z34">
        <v>-9.3333333333333357</v>
      </c>
      <c r="AA34">
        <v>43622.9</v>
      </c>
    </row>
    <row r="35" spans="2:27" x14ac:dyDescent="0.25">
      <c r="B35">
        <v>39600</v>
      </c>
      <c r="C35" t="s">
        <v>50</v>
      </c>
      <c r="D35">
        <v>39600</v>
      </c>
      <c r="E35" t="s">
        <v>50</v>
      </c>
      <c r="F35" t="s">
        <v>25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43622.9</v>
      </c>
      <c r="P35">
        <v>39600</v>
      </c>
      <c r="Q35" t="s">
        <v>50</v>
      </c>
      <c r="R35" t="s">
        <v>25</v>
      </c>
      <c r="S35">
        <v>101</v>
      </c>
      <c r="T35">
        <v>31</v>
      </c>
      <c r="U35">
        <v>44.285714285714285</v>
      </c>
      <c r="V35">
        <v>370</v>
      </c>
      <c r="W35">
        <v>30.93</v>
      </c>
      <c r="X35">
        <v>3.5</v>
      </c>
      <c r="Y35">
        <v>0.20000000000000015</v>
      </c>
      <c r="Z35">
        <v>6.0606060606060659</v>
      </c>
      <c r="AA35">
        <v>43622.9</v>
      </c>
    </row>
    <row r="36" spans="2:27" x14ac:dyDescent="0.25">
      <c r="B36">
        <v>39700</v>
      </c>
      <c r="C36" t="s">
        <v>50</v>
      </c>
      <c r="D36">
        <v>39700</v>
      </c>
      <c r="E36" t="s">
        <v>50</v>
      </c>
      <c r="F36" t="s">
        <v>25</v>
      </c>
      <c r="G36">
        <v>1</v>
      </c>
      <c r="H36">
        <v>0</v>
      </c>
      <c r="I36">
        <v>0</v>
      </c>
      <c r="J36">
        <v>0</v>
      </c>
      <c r="K36">
        <v>0</v>
      </c>
      <c r="L36">
        <v>4000</v>
      </c>
      <c r="M36">
        <v>0</v>
      </c>
      <c r="N36">
        <v>0</v>
      </c>
      <c r="O36">
        <v>43622.9</v>
      </c>
      <c r="P36">
        <v>39700</v>
      </c>
      <c r="Q36" t="s">
        <v>50</v>
      </c>
      <c r="R36" t="s">
        <v>25</v>
      </c>
      <c r="S36">
        <v>276</v>
      </c>
      <c r="T36">
        <v>155</v>
      </c>
      <c r="U36">
        <v>128.099173553719</v>
      </c>
      <c r="V36">
        <v>4625</v>
      </c>
      <c r="W36">
        <v>30.42</v>
      </c>
      <c r="X36">
        <v>3.7</v>
      </c>
      <c r="Y36">
        <v>-0.59999999999999964</v>
      </c>
      <c r="Z36">
        <v>-13.953488372093014</v>
      </c>
      <c r="AA36">
        <v>43622.9</v>
      </c>
    </row>
    <row r="37" spans="2:27" x14ac:dyDescent="0.25">
      <c r="B37">
        <v>39800</v>
      </c>
      <c r="C37" t="s">
        <v>50</v>
      </c>
      <c r="D37">
        <v>39800</v>
      </c>
      <c r="E37" t="s">
        <v>50</v>
      </c>
      <c r="F37" t="s">
        <v>25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43622.9</v>
      </c>
      <c r="P37">
        <v>39800</v>
      </c>
      <c r="Q37" t="s">
        <v>50</v>
      </c>
      <c r="R37" t="s">
        <v>25</v>
      </c>
      <c r="S37">
        <v>237</v>
      </c>
      <c r="T37">
        <v>133</v>
      </c>
      <c r="U37">
        <v>127.8846153846154</v>
      </c>
      <c r="V37">
        <v>4302</v>
      </c>
      <c r="W37">
        <v>29.37</v>
      </c>
      <c r="X37">
        <v>3.35</v>
      </c>
      <c r="Y37">
        <v>-0.80000000000000027</v>
      </c>
      <c r="Z37">
        <v>-19.277108433734945</v>
      </c>
      <c r="AA37">
        <v>43622.9</v>
      </c>
    </row>
    <row r="38" spans="2:27" x14ac:dyDescent="0.25">
      <c r="B38">
        <v>39900</v>
      </c>
      <c r="C38" t="s">
        <v>50</v>
      </c>
      <c r="D38">
        <v>39900</v>
      </c>
      <c r="E38" t="s">
        <v>50</v>
      </c>
      <c r="F38" t="s">
        <v>25</v>
      </c>
      <c r="G38">
        <v>8</v>
      </c>
      <c r="H38">
        <v>0</v>
      </c>
      <c r="I38">
        <v>0</v>
      </c>
      <c r="J38">
        <v>2</v>
      </c>
      <c r="K38">
        <v>52.12</v>
      </c>
      <c r="L38">
        <v>3900</v>
      </c>
      <c r="M38">
        <v>233.44999999999985</v>
      </c>
      <c r="N38">
        <v>6.3670207688426395</v>
      </c>
      <c r="O38">
        <v>43622.9</v>
      </c>
      <c r="P38">
        <v>39900</v>
      </c>
      <c r="Q38" t="s">
        <v>50</v>
      </c>
      <c r="R38" t="s">
        <v>25</v>
      </c>
      <c r="S38">
        <v>483</v>
      </c>
      <c r="T38">
        <v>302</v>
      </c>
      <c r="U38">
        <v>166.85082872928177</v>
      </c>
      <c r="V38">
        <v>6303</v>
      </c>
      <c r="W38">
        <v>29.05</v>
      </c>
      <c r="X38">
        <v>3.75</v>
      </c>
      <c r="Y38">
        <v>-0.45000000000000018</v>
      </c>
      <c r="Z38">
        <v>-10.714285714285715</v>
      </c>
      <c r="AA38">
        <v>43622.9</v>
      </c>
    </row>
    <row r="39" spans="2:27" x14ac:dyDescent="0.25">
      <c r="B39">
        <v>40000</v>
      </c>
      <c r="C39" t="s">
        <v>50</v>
      </c>
      <c r="D39">
        <v>40000</v>
      </c>
      <c r="E39" t="s">
        <v>50</v>
      </c>
      <c r="F39" t="s">
        <v>25</v>
      </c>
      <c r="G39">
        <v>2488</v>
      </c>
      <c r="H39">
        <v>-168</v>
      </c>
      <c r="I39">
        <v>-6.3253012048192767</v>
      </c>
      <c r="J39">
        <v>299</v>
      </c>
      <c r="K39">
        <v>0</v>
      </c>
      <c r="L39">
        <v>3672</v>
      </c>
      <c r="M39">
        <v>-98</v>
      </c>
      <c r="N39">
        <v>-2.5994694960212201</v>
      </c>
      <c r="O39">
        <v>43622.9</v>
      </c>
      <c r="P39">
        <v>40000</v>
      </c>
      <c r="Q39" t="s">
        <v>50</v>
      </c>
      <c r="R39" t="s">
        <v>25</v>
      </c>
      <c r="S39">
        <v>30796</v>
      </c>
      <c r="T39">
        <v>11816</v>
      </c>
      <c r="U39">
        <v>62.255005268703897</v>
      </c>
      <c r="V39">
        <v>166845</v>
      </c>
      <c r="W39">
        <v>28.6</v>
      </c>
      <c r="X39">
        <v>4.05</v>
      </c>
      <c r="Y39">
        <v>-0.15000000000000036</v>
      </c>
      <c r="Z39">
        <v>-3.5714285714285796</v>
      </c>
      <c r="AA39">
        <v>43622.9</v>
      </c>
    </row>
    <row r="40" spans="2:27" x14ac:dyDescent="0.25">
      <c r="B40">
        <v>40100</v>
      </c>
      <c r="C40" t="s">
        <v>50</v>
      </c>
      <c r="D40">
        <v>40100</v>
      </c>
      <c r="E40" t="s">
        <v>50</v>
      </c>
      <c r="F40" t="s">
        <v>25</v>
      </c>
      <c r="G40">
        <v>19</v>
      </c>
      <c r="H40">
        <v>-6</v>
      </c>
      <c r="I40">
        <v>-24</v>
      </c>
      <c r="J40">
        <v>8</v>
      </c>
      <c r="K40">
        <v>0</v>
      </c>
      <c r="L40">
        <v>3525</v>
      </c>
      <c r="M40">
        <v>-328.40000000000009</v>
      </c>
      <c r="N40">
        <v>-8.5223439040847069</v>
      </c>
      <c r="O40">
        <v>43622.9</v>
      </c>
      <c r="P40">
        <v>40100</v>
      </c>
      <c r="Q40" t="s">
        <v>50</v>
      </c>
      <c r="R40" t="s">
        <v>25</v>
      </c>
      <c r="S40">
        <v>567</v>
      </c>
      <c r="T40">
        <v>321</v>
      </c>
      <c r="U40">
        <v>130.48780487804879</v>
      </c>
      <c r="V40">
        <v>11110</v>
      </c>
      <c r="W40">
        <v>27.58</v>
      </c>
      <c r="X40">
        <v>3.7</v>
      </c>
      <c r="Y40">
        <v>-0.75</v>
      </c>
      <c r="Z40">
        <v>-16.853932584269664</v>
      </c>
      <c r="AA40">
        <v>43622.9</v>
      </c>
    </row>
    <row r="41" spans="2:27" x14ac:dyDescent="0.25">
      <c r="B41">
        <v>40200</v>
      </c>
      <c r="C41" t="s">
        <v>50</v>
      </c>
      <c r="D41">
        <v>40200</v>
      </c>
      <c r="E41" t="s">
        <v>50</v>
      </c>
      <c r="F41" t="s">
        <v>25</v>
      </c>
      <c r="G41">
        <v>15</v>
      </c>
      <c r="H41">
        <v>-2</v>
      </c>
      <c r="I41">
        <v>-11.764705882352942</v>
      </c>
      <c r="J41">
        <v>8</v>
      </c>
      <c r="K41">
        <v>31.5</v>
      </c>
      <c r="L41">
        <v>3501</v>
      </c>
      <c r="M41">
        <v>168</v>
      </c>
      <c r="N41">
        <v>5.0405040504050405</v>
      </c>
      <c r="O41">
        <v>43622.9</v>
      </c>
      <c r="P41">
        <v>40200</v>
      </c>
      <c r="Q41" t="s">
        <v>50</v>
      </c>
      <c r="R41" t="s">
        <v>25</v>
      </c>
      <c r="S41">
        <v>490</v>
      </c>
      <c r="T41">
        <v>119</v>
      </c>
      <c r="U41">
        <v>32.075471698113205</v>
      </c>
      <c r="V41">
        <v>12156</v>
      </c>
      <c r="W41">
        <v>26.79</v>
      </c>
      <c r="X41">
        <v>3.7</v>
      </c>
      <c r="Y41">
        <v>-0.45000000000000018</v>
      </c>
      <c r="Z41">
        <v>-10.843373493975909</v>
      </c>
      <c r="AA41">
        <v>43622.9</v>
      </c>
    </row>
    <row r="42" spans="2:27" x14ac:dyDescent="0.25">
      <c r="B42">
        <v>40300</v>
      </c>
      <c r="C42" t="s">
        <v>50</v>
      </c>
      <c r="D42">
        <v>40300</v>
      </c>
      <c r="E42" t="s">
        <v>50</v>
      </c>
      <c r="F42" t="s">
        <v>25</v>
      </c>
      <c r="G42">
        <v>22</v>
      </c>
      <c r="H42">
        <v>-8</v>
      </c>
      <c r="I42">
        <v>-26.666666666666668</v>
      </c>
      <c r="J42">
        <v>8</v>
      </c>
      <c r="K42">
        <v>0</v>
      </c>
      <c r="L42">
        <v>3351</v>
      </c>
      <c r="M42">
        <v>126</v>
      </c>
      <c r="N42">
        <v>3.9069767441860463</v>
      </c>
      <c r="O42">
        <v>43622.9</v>
      </c>
      <c r="P42">
        <v>40300</v>
      </c>
      <c r="Q42" t="s">
        <v>50</v>
      </c>
      <c r="R42" t="s">
        <v>25</v>
      </c>
      <c r="S42">
        <v>1371</v>
      </c>
      <c r="T42">
        <v>463</v>
      </c>
      <c r="U42">
        <v>50.991189427312776</v>
      </c>
      <c r="V42">
        <v>30558</v>
      </c>
      <c r="W42">
        <v>26.45</v>
      </c>
      <c r="X42">
        <v>4.05</v>
      </c>
      <c r="Y42">
        <v>-0.35000000000000053</v>
      </c>
      <c r="Z42">
        <v>-7.9545454545454657</v>
      </c>
      <c r="AA42">
        <v>43622.9</v>
      </c>
    </row>
    <row r="43" spans="2:27" x14ac:dyDescent="0.25">
      <c r="B43">
        <v>40400</v>
      </c>
      <c r="C43" t="s">
        <v>50</v>
      </c>
      <c r="D43">
        <v>40400</v>
      </c>
      <c r="E43" t="s">
        <v>50</v>
      </c>
      <c r="F43" t="s">
        <v>25</v>
      </c>
      <c r="G43">
        <v>6</v>
      </c>
      <c r="H43">
        <v>-8</v>
      </c>
      <c r="I43">
        <v>-57.142857142857146</v>
      </c>
      <c r="J43">
        <v>8</v>
      </c>
      <c r="K43">
        <v>0</v>
      </c>
      <c r="L43">
        <v>3225</v>
      </c>
      <c r="M43">
        <v>76</v>
      </c>
      <c r="N43">
        <v>2.413464591933947</v>
      </c>
      <c r="O43">
        <v>43622.9</v>
      </c>
      <c r="P43">
        <v>40400</v>
      </c>
      <c r="Q43" t="s">
        <v>50</v>
      </c>
      <c r="R43" t="s">
        <v>25</v>
      </c>
      <c r="S43">
        <v>447</v>
      </c>
      <c r="T43">
        <v>238</v>
      </c>
      <c r="U43">
        <v>113.8755980861244</v>
      </c>
      <c r="V43">
        <v>28400</v>
      </c>
      <c r="W43">
        <v>25.78</v>
      </c>
      <c r="X43">
        <v>3.7</v>
      </c>
      <c r="Y43">
        <v>-0.79999999999999982</v>
      </c>
      <c r="Z43">
        <v>-17.777777777777771</v>
      </c>
      <c r="AA43">
        <v>43622.9</v>
      </c>
    </row>
    <row r="44" spans="2:27" x14ac:dyDescent="0.25">
      <c r="B44">
        <v>40500</v>
      </c>
      <c r="C44" t="s">
        <v>50</v>
      </c>
      <c r="D44">
        <v>40500</v>
      </c>
      <c r="E44" t="s">
        <v>50</v>
      </c>
      <c r="F44" t="s">
        <v>25</v>
      </c>
      <c r="G44">
        <v>995</v>
      </c>
      <c r="H44">
        <v>-20</v>
      </c>
      <c r="I44">
        <v>-1.9704433497536944</v>
      </c>
      <c r="J44">
        <v>48</v>
      </c>
      <c r="K44">
        <v>0</v>
      </c>
      <c r="L44">
        <v>3162.05</v>
      </c>
      <c r="M44">
        <v>-99.149999999999636</v>
      </c>
      <c r="N44">
        <v>-3.0402919170857241</v>
      </c>
      <c r="O44">
        <v>43622.9</v>
      </c>
      <c r="P44">
        <v>40500</v>
      </c>
      <c r="Q44" t="s">
        <v>50</v>
      </c>
      <c r="R44" t="s">
        <v>25</v>
      </c>
      <c r="S44">
        <v>19221</v>
      </c>
      <c r="T44">
        <v>3980</v>
      </c>
      <c r="U44">
        <v>26.113772062200638</v>
      </c>
      <c r="V44">
        <v>166130</v>
      </c>
      <c r="W44">
        <v>24.98</v>
      </c>
      <c r="X44">
        <v>4</v>
      </c>
      <c r="Y44">
        <v>-0.65000000000000036</v>
      </c>
      <c r="Z44">
        <v>-13.978494623655919</v>
      </c>
      <c r="AA44">
        <v>43622.9</v>
      </c>
    </row>
    <row r="45" spans="2:27" x14ac:dyDescent="0.25">
      <c r="B45">
        <v>40600</v>
      </c>
      <c r="C45" t="s">
        <v>50</v>
      </c>
      <c r="D45">
        <v>40600</v>
      </c>
      <c r="E45" t="s">
        <v>50</v>
      </c>
      <c r="F45" t="s">
        <v>25</v>
      </c>
      <c r="G45">
        <v>64</v>
      </c>
      <c r="H45">
        <v>0</v>
      </c>
      <c r="I45">
        <v>0</v>
      </c>
      <c r="J45">
        <v>0</v>
      </c>
      <c r="K45">
        <v>0</v>
      </c>
      <c r="L45">
        <v>3100</v>
      </c>
      <c r="M45">
        <v>0</v>
      </c>
      <c r="N45">
        <v>0</v>
      </c>
      <c r="O45">
        <v>43622.9</v>
      </c>
      <c r="P45">
        <v>40600</v>
      </c>
      <c r="Q45" t="s">
        <v>50</v>
      </c>
      <c r="R45" t="s">
        <v>25</v>
      </c>
      <c r="S45">
        <v>1189</v>
      </c>
      <c r="T45">
        <v>912</v>
      </c>
      <c r="U45">
        <v>329.24187725631771</v>
      </c>
      <c r="V45">
        <v>43464</v>
      </c>
      <c r="W45">
        <v>24.38</v>
      </c>
      <c r="X45">
        <v>4.1500000000000004</v>
      </c>
      <c r="Y45">
        <v>-0.64999999999999947</v>
      </c>
      <c r="Z45">
        <v>-13.541666666666655</v>
      </c>
      <c r="AA45">
        <v>43622.9</v>
      </c>
    </row>
    <row r="46" spans="2:27" x14ac:dyDescent="0.25">
      <c r="B46">
        <v>40700</v>
      </c>
      <c r="C46" t="s">
        <v>50</v>
      </c>
      <c r="D46">
        <v>40700</v>
      </c>
      <c r="E46" t="s">
        <v>50</v>
      </c>
      <c r="F46" t="s">
        <v>25</v>
      </c>
      <c r="G46">
        <v>15</v>
      </c>
      <c r="H46">
        <v>0</v>
      </c>
      <c r="I46">
        <v>0</v>
      </c>
      <c r="J46">
        <v>0</v>
      </c>
      <c r="K46">
        <v>0</v>
      </c>
      <c r="L46">
        <v>3257.25</v>
      </c>
      <c r="M46">
        <v>0</v>
      </c>
      <c r="N46">
        <v>0</v>
      </c>
      <c r="O46">
        <v>43622.9</v>
      </c>
      <c r="P46">
        <v>40700</v>
      </c>
      <c r="Q46" t="s">
        <v>50</v>
      </c>
      <c r="R46" t="s">
        <v>25</v>
      </c>
      <c r="S46">
        <v>1939</v>
      </c>
      <c r="T46">
        <v>800</v>
      </c>
      <c r="U46">
        <v>70.237050043898151</v>
      </c>
      <c r="V46">
        <v>45269</v>
      </c>
      <c r="W46">
        <v>23.66</v>
      </c>
      <c r="X46">
        <v>4.1500000000000004</v>
      </c>
      <c r="Y46">
        <v>-0.75</v>
      </c>
      <c r="Z46">
        <v>-15.30612244897959</v>
      </c>
      <c r="AA46">
        <v>43622.9</v>
      </c>
    </row>
    <row r="47" spans="2:27" x14ac:dyDescent="0.25">
      <c r="B47">
        <v>40800</v>
      </c>
      <c r="C47" t="s">
        <v>50</v>
      </c>
      <c r="D47">
        <v>40800</v>
      </c>
      <c r="E47" t="s">
        <v>50</v>
      </c>
      <c r="F47" t="s">
        <v>25</v>
      </c>
      <c r="G47">
        <v>64</v>
      </c>
      <c r="H47">
        <v>-16</v>
      </c>
      <c r="I47">
        <v>-20</v>
      </c>
      <c r="J47">
        <v>24</v>
      </c>
      <c r="K47">
        <v>0</v>
      </c>
      <c r="L47">
        <v>2850</v>
      </c>
      <c r="M47">
        <v>-130</v>
      </c>
      <c r="N47">
        <v>-4.3624161073825505</v>
      </c>
      <c r="O47">
        <v>43622.9</v>
      </c>
      <c r="P47">
        <v>40800</v>
      </c>
      <c r="Q47" t="s">
        <v>50</v>
      </c>
      <c r="R47" t="s">
        <v>25</v>
      </c>
      <c r="S47">
        <v>3939</v>
      </c>
      <c r="T47">
        <v>2275</v>
      </c>
      <c r="U47">
        <v>136.71875</v>
      </c>
      <c r="V47">
        <v>47690</v>
      </c>
      <c r="W47">
        <v>23.01</v>
      </c>
      <c r="X47">
        <v>4.3</v>
      </c>
      <c r="Y47">
        <v>-0.75</v>
      </c>
      <c r="Z47">
        <v>-14.85148514851485</v>
      </c>
      <c r="AA47">
        <v>43622.9</v>
      </c>
    </row>
    <row r="48" spans="2:27" x14ac:dyDescent="0.25">
      <c r="B48">
        <v>40900</v>
      </c>
      <c r="C48" t="s">
        <v>50</v>
      </c>
      <c r="D48">
        <v>40900</v>
      </c>
      <c r="E48" t="s">
        <v>50</v>
      </c>
      <c r="F48" t="s">
        <v>25</v>
      </c>
      <c r="G48">
        <v>15</v>
      </c>
      <c r="H48">
        <v>0</v>
      </c>
      <c r="I48">
        <v>0</v>
      </c>
      <c r="J48">
        <v>10</v>
      </c>
      <c r="K48">
        <v>25.08</v>
      </c>
      <c r="L48">
        <v>2800</v>
      </c>
      <c r="M48">
        <v>-14.900000000000093</v>
      </c>
      <c r="N48">
        <v>-0.52932608618423715</v>
      </c>
      <c r="O48">
        <v>43622.9</v>
      </c>
      <c r="P48">
        <v>40900</v>
      </c>
      <c r="Q48" t="s">
        <v>50</v>
      </c>
      <c r="R48" t="s">
        <v>25</v>
      </c>
      <c r="S48">
        <v>2400</v>
      </c>
      <c r="T48">
        <v>1639</v>
      </c>
      <c r="U48">
        <v>215.37450722733249</v>
      </c>
      <c r="V48">
        <v>55650</v>
      </c>
      <c r="W48">
        <v>22.19</v>
      </c>
      <c r="X48">
        <v>4.0999999999999996</v>
      </c>
      <c r="Y48">
        <v>-1.3500000000000003</v>
      </c>
      <c r="Z48">
        <v>-24.770642201834871</v>
      </c>
      <c r="AA48">
        <v>43622.9</v>
      </c>
    </row>
    <row r="49" spans="2:27" x14ac:dyDescent="0.25">
      <c r="B49">
        <v>41000</v>
      </c>
      <c r="C49" t="s">
        <v>50</v>
      </c>
      <c r="D49">
        <v>41000</v>
      </c>
      <c r="E49" t="s">
        <v>50</v>
      </c>
      <c r="F49" t="s">
        <v>25</v>
      </c>
      <c r="G49">
        <v>2421</v>
      </c>
      <c r="H49">
        <v>-260</v>
      </c>
      <c r="I49">
        <v>-9.6978739276389394</v>
      </c>
      <c r="J49">
        <v>459</v>
      </c>
      <c r="K49">
        <v>0</v>
      </c>
      <c r="L49">
        <v>2666.8</v>
      </c>
      <c r="M49">
        <v>-103.19999999999982</v>
      </c>
      <c r="N49">
        <v>-3.7256317689530616</v>
      </c>
      <c r="O49">
        <v>43622.9</v>
      </c>
      <c r="P49">
        <v>41000</v>
      </c>
      <c r="Q49" t="s">
        <v>50</v>
      </c>
      <c r="R49" t="s">
        <v>25</v>
      </c>
      <c r="S49">
        <v>58042</v>
      </c>
      <c r="T49">
        <v>25475</v>
      </c>
      <c r="U49">
        <v>78.223354929836958</v>
      </c>
      <c r="V49">
        <v>382401</v>
      </c>
      <c r="W49">
        <v>21.97</v>
      </c>
      <c r="X49">
        <v>5.0999999999999996</v>
      </c>
      <c r="Y49">
        <v>-0.60000000000000053</v>
      </c>
      <c r="Z49">
        <v>-10.526315789473694</v>
      </c>
      <c r="AA49">
        <v>43622.9</v>
      </c>
    </row>
    <row r="50" spans="2:27" x14ac:dyDescent="0.25">
      <c r="B50">
        <v>41100</v>
      </c>
      <c r="C50" t="s">
        <v>50</v>
      </c>
      <c r="D50">
        <v>41100</v>
      </c>
      <c r="E50" t="s">
        <v>50</v>
      </c>
      <c r="F50" t="s">
        <v>25</v>
      </c>
      <c r="G50">
        <v>90</v>
      </c>
      <c r="H50">
        <v>0</v>
      </c>
      <c r="I50">
        <v>0</v>
      </c>
      <c r="J50">
        <v>0</v>
      </c>
      <c r="K50">
        <v>0</v>
      </c>
      <c r="L50">
        <v>2691</v>
      </c>
      <c r="M50">
        <v>0</v>
      </c>
      <c r="N50">
        <v>0</v>
      </c>
      <c r="O50">
        <v>43622.9</v>
      </c>
      <c r="P50">
        <v>41100</v>
      </c>
      <c r="Q50" t="s">
        <v>50</v>
      </c>
      <c r="R50" t="s">
        <v>25</v>
      </c>
      <c r="S50">
        <v>3340</v>
      </c>
      <c r="T50">
        <v>2325</v>
      </c>
      <c r="U50">
        <v>229.06403940886699</v>
      </c>
      <c r="V50">
        <v>77809</v>
      </c>
      <c r="W50">
        <v>21.03</v>
      </c>
      <c r="X50">
        <v>4.55</v>
      </c>
      <c r="Y50">
        <v>-1.5</v>
      </c>
      <c r="Z50">
        <v>-24.793388429752067</v>
      </c>
      <c r="AA50">
        <v>43622.9</v>
      </c>
    </row>
    <row r="51" spans="2:27" x14ac:dyDescent="0.25">
      <c r="B51">
        <v>41200</v>
      </c>
      <c r="C51" t="s">
        <v>50</v>
      </c>
      <c r="D51">
        <v>41200</v>
      </c>
      <c r="E51" t="s">
        <v>50</v>
      </c>
      <c r="F51" t="s">
        <v>25</v>
      </c>
      <c r="G51">
        <v>49</v>
      </c>
      <c r="H51">
        <v>0</v>
      </c>
      <c r="I51">
        <v>0</v>
      </c>
      <c r="J51">
        <v>3</v>
      </c>
      <c r="K51">
        <v>0</v>
      </c>
      <c r="L51">
        <v>2450</v>
      </c>
      <c r="M51">
        <v>-29.050000000000185</v>
      </c>
      <c r="N51">
        <v>-1.1718198503459061</v>
      </c>
      <c r="O51">
        <v>43622.9</v>
      </c>
      <c r="P51">
        <v>41200</v>
      </c>
      <c r="Q51" t="s">
        <v>50</v>
      </c>
      <c r="R51" t="s">
        <v>25</v>
      </c>
      <c r="S51">
        <v>3760</v>
      </c>
      <c r="T51">
        <v>1692</v>
      </c>
      <c r="U51">
        <v>81.818181818181813</v>
      </c>
      <c r="V51">
        <v>75993</v>
      </c>
      <c r="W51">
        <v>21.76</v>
      </c>
      <c r="X51">
        <v>7.5</v>
      </c>
      <c r="Y51">
        <v>1.2999999999999998</v>
      </c>
      <c r="Z51">
        <v>20.967741935483865</v>
      </c>
      <c r="AA51">
        <v>43622.9</v>
      </c>
    </row>
    <row r="52" spans="2:27" x14ac:dyDescent="0.25">
      <c r="B52">
        <v>41300</v>
      </c>
      <c r="C52" t="s">
        <v>50</v>
      </c>
      <c r="D52">
        <v>41300</v>
      </c>
      <c r="E52" t="s">
        <v>50</v>
      </c>
      <c r="F52" t="s">
        <v>25</v>
      </c>
      <c r="G52">
        <v>43</v>
      </c>
      <c r="H52">
        <v>-1</v>
      </c>
      <c r="I52">
        <v>-2.2727272727272729</v>
      </c>
      <c r="J52">
        <v>4</v>
      </c>
      <c r="K52">
        <v>34.61</v>
      </c>
      <c r="L52">
        <v>2482</v>
      </c>
      <c r="M52">
        <v>-368</v>
      </c>
      <c r="N52">
        <v>-12.912280701754389</v>
      </c>
      <c r="O52">
        <v>43622.9</v>
      </c>
      <c r="P52">
        <v>41300</v>
      </c>
      <c r="Q52" t="s">
        <v>50</v>
      </c>
      <c r="R52" t="s">
        <v>25</v>
      </c>
      <c r="S52">
        <v>8341</v>
      </c>
      <c r="T52">
        <v>5796</v>
      </c>
      <c r="U52">
        <v>227.74066797642436</v>
      </c>
      <c r="V52">
        <v>108409</v>
      </c>
      <c r="W52">
        <v>19.850000000000001</v>
      </c>
      <c r="X52">
        <v>4.9000000000000004</v>
      </c>
      <c r="Y52">
        <v>-1.6499999999999997</v>
      </c>
      <c r="Z52">
        <v>-25.190839694656479</v>
      </c>
      <c r="AA52">
        <v>43622.9</v>
      </c>
    </row>
    <row r="53" spans="2:27" x14ac:dyDescent="0.25">
      <c r="B53">
        <v>41400</v>
      </c>
      <c r="C53" t="s">
        <v>50</v>
      </c>
      <c r="D53">
        <v>41400</v>
      </c>
      <c r="E53" t="s">
        <v>50</v>
      </c>
      <c r="F53" t="s">
        <v>25</v>
      </c>
      <c r="G53">
        <v>27</v>
      </c>
      <c r="H53">
        <v>0</v>
      </c>
      <c r="I53">
        <v>0</v>
      </c>
      <c r="J53">
        <v>0</v>
      </c>
      <c r="K53">
        <v>0</v>
      </c>
      <c r="L53">
        <v>3120</v>
      </c>
      <c r="M53">
        <v>0</v>
      </c>
      <c r="N53">
        <v>0</v>
      </c>
      <c r="O53">
        <v>43622.9</v>
      </c>
      <c r="P53">
        <v>41400</v>
      </c>
      <c r="Q53" t="s">
        <v>50</v>
      </c>
      <c r="R53" t="s">
        <v>25</v>
      </c>
      <c r="S53">
        <v>4932</v>
      </c>
      <c r="T53">
        <v>3130</v>
      </c>
      <c r="U53">
        <v>173.69589345172031</v>
      </c>
      <c r="V53">
        <v>87893</v>
      </c>
      <c r="W53">
        <v>19.260000000000002</v>
      </c>
      <c r="X53">
        <v>5.15</v>
      </c>
      <c r="Y53">
        <v>-1.9499999999999993</v>
      </c>
      <c r="Z53">
        <v>-27.464788732394357</v>
      </c>
      <c r="AA53">
        <v>43622.9</v>
      </c>
    </row>
    <row r="54" spans="2:27" x14ac:dyDescent="0.25">
      <c r="B54">
        <v>41500</v>
      </c>
      <c r="C54" t="s">
        <v>50</v>
      </c>
      <c r="D54">
        <v>41500</v>
      </c>
      <c r="E54" t="s">
        <v>50</v>
      </c>
      <c r="F54" t="s">
        <v>25</v>
      </c>
      <c r="G54">
        <v>1761</v>
      </c>
      <c r="H54">
        <v>64</v>
      </c>
      <c r="I54">
        <v>3.7713612256923983</v>
      </c>
      <c r="J54">
        <v>434</v>
      </c>
      <c r="K54">
        <v>0</v>
      </c>
      <c r="L54">
        <v>2165.4</v>
      </c>
      <c r="M54">
        <v>-117.59999999999992</v>
      </c>
      <c r="N54">
        <v>-5.1511169513797599</v>
      </c>
      <c r="O54">
        <v>43622.9</v>
      </c>
      <c r="P54">
        <v>41500</v>
      </c>
      <c r="Q54" t="s">
        <v>50</v>
      </c>
      <c r="R54" t="s">
        <v>25</v>
      </c>
      <c r="S54">
        <v>59698</v>
      </c>
      <c r="T54">
        <v>24555</v>
      </c>
      <c r="U54">
        <v>69.871667188344759</v>
      </c>
      <c r="V54">
        <v>482518</v>
      </c>
      <c r="W54">
        <v>18.61</v>
      </c>
      <c r="X54">
        <v>5.45</v>
      </c>
      <c r="Y54">
        <v>-2.2000000000000002</v>
      </c>
      <c r="Z54">
        <v>-28.758169934640527</v>
      </c>
      <c r="AA54">
        <v>43622.9</v>
      </c>
    </row>
    <row r="55" spans="2:27" x14ac:dyDescent="0.25">
      <c r="B55">
        <v>41600</v>
      </c>
      <c r="C55" t="s">
        <v>50</v>
      </c>
      <c r="D55">
        <v>41600</v>
      </c>
      <c r="E55" t="s">
        <v>50</v>
      </c>
      <c r="F55" t="s">
        <v>25</v>
      </c>
      <c r="G55">
        <v>77</v>
      </c>
      <c r="H55">
        <v>2</v>
      </c>
      <c r="I55">
        <v>2.6666666666666665</v>
      </c>
      <c r="J55">
        <v>8</v>
      </c>
      <c r="K55">
        <v>0</v>
      </c>
      <c r="L55">
        <v>2088.0500000000002</v>
      </c>
      <c r="M55">
        <v>-261.94999999999982</v>
      </c>
      <c r="N55">
        <v>-11.146808510638287</v>
      </c>
      <c r="O55">
        <v>43622.9</v>
      </c>
      <c r="P55">
        <v>41600</v>
      </c>
      <c r="Q55" t="s">
        <v>50</v>
      </c>
      <c r="R55" t="s">
        <v>25</v>
      </c>
      <c r="S55">
        <v>6640</v>
      </c>
      <c r="T55">
        <v>1037</v>
      </c>
      <c r="U55">
        <v>18.507942173835445</v>
      </c>
      <c r="V55">
        <v>147097</v>
      </c>
      <c r="W55">
        <v>18.25</v>
      </c>
      <c r="X55">
        <v>6.05</v>
      </c>
      <c r="Y55">
        <v>-2.3500000000000005</v>
      </c>
      <c r="Z55">
        <v>-27.976190476190482</v>
      </c>
      <c r="AA55">
        <v>43622.9</v>
      </c>
    </row>
    <row r="56" spans="2:27" x14ac:dyDescent="0.25">
      <c r="B56">
        <v>41700</v>
      </c>
      <c r="C56" t="s">
        <v>50</v>
      </c>
      <c r="D56">
        <v>41700</v>
      </c>
      <c r="E56" t="s">
        <v>50</v>
      </c>
      <c r="F56" t="s">
        <v>25</v>
      </c>
      <c r="G56">
        <v>68</v>
      </c>
      <c r="H56">
        <v>-2</v>
      </c>
      <c r="I56">
        <v>-2.8571428571428572</v>
      </c>
      <c r="J56">
        <v>2</v>
      </c>
      <c r="K56">
        <v>20.43</v>
      </c>
      <c r="L56">
        <v>2008</v>
      </c>
      <c r="M56">
        <v>-92</v>
      </c>
      <c r="N56">
        <v>-4.3809523809523814</v>
      </c>
      <c r="O56">
        <v>43622.9</v>
      </c>
      <c r="P56">
        <v>41700</v>
      </c>
      <c r="Q56" t="s">
        <v>50</v>
      </c>
      <c r="R56" t="s">
        <v>25</v>
      </c>
      <c r="S56">
        <v>12881</v>
      </c>
      <c r="T56">
        <v>9017</v>
      </c>
      <c r="U56">
        <v>233.3592132505176</v>
      </c>
      <c r="V56">
        <v>155337</v>
      </c>
      <c r="W56">
        <v>17.600000000000001</v>
      </c>
      <c r="X56">
        <v>6.3</v>
      </c>
      <c r="Y56">
        <v>-2.5000000000000009</v>
      </c>
      <c r="Z56">
        <v>-28.409090909090917</v>
      </c>
      <c r="AA56">
        <v>43622.9</v>
      </c>
    </row>
    <row r="57" spans="2:27" x14ac:dyDescent="0.25">
      <c r="B57">
        <v>41800</v>
      </c>
      <c r="C57" t="s">
        <v>50</v>
      </c>
      <c r="D57">
        <v>41800</v>
      </c>
      <c r="E57" t="s">
        <v>50</v>
      </c>
      <c r="F57" t="s">
        <v>25</v>
      </c>
      <c r="G57">
        <v>114</v>
      </c>
      <c r="H57">
        <v>7</v>
      </c>
      <c r="I57">
        <v>6.5420560747663554</v>
      </c>
      <c r="J57">
        <v>112</v>
      </c>
      <c r="K57">
        <v>0</v>
      </c>
      <c r="L57">
        <v>1875.7</v>
      </c>
      <c r="M57">
        <v>-279.29999999999995</v>
      </c>
      <c r="N57">
        <v>-12.960556844547559</v>
      </c>
      <c r="O57">
        <v>43622.9</v>
      </c>
      <c r="P57">
        <v>41800</v>
      </c>
      <c r="Q57" t="s">
        <v>50</v>
      </c>
      <c r="R57" t="s">
        <v>25</v>
      </c>
      <c r="S57">
        <v>32242</v>
      </c>
      <c r="T57">
        <v>24854</v>
      </c>
      <c r="U57">
        <v>336.41039523551706</v>
      </c>
      <c r="V57">
        <v>186497</v>
      </c>
      <c r="W57">
        <v>17.350000000000001</v>
      </c>
      <c r="X57">
        <v>8.4</v>
      </c>
      <c r="Y57">
        <v>-1.0999999999999996</v>
      </c>
      <c r="Z57">
        <v>-11.578947368421048</v>
      </c>
      <c r="AA57">
        <v>43622.9</v>
      </c>
    </row>
    <row r="58" spans="2:27" x14ac:dyDescent="0.25">
      <c r="B58">
        <v>41900</v>
      </c>
      <c r="C58" t="s">
        <v>50</v>
      </c>
      <c r="D58">
        <v>41900</v>
      </c>
      <c r="E58" t="s">
        <v>50</v>
      </c>
      <c r="F58" t="s">
        <v>25</v>
      </c>
      <c r="G58">
        <v>105</v>
      </c>
      <c r="H58">
        <v>4</v>
      </c>
      <c r="I58">
        <v>3.9603960396039599</v>
      </c>
      <c r="J58">
        <v>15</v>
      </c>
      <c r="K58">
        <v>24.04</v>
      </c>
      <c r="L58">
        <v>1844.3</v>
      </c>
      <c r="M58">
        <v>-255.70000000000005</v>
      </c>
      <c r="N58">
        <v>-12.176190476190476</v>
      </c>
      <c r="O58">
        <v>43622.9</v>
      </c>
      <c r="P58">
        <v>41900</v>
      </c>
      <c r="Q58" t="s">
        <v>50</v>
      </c>
      <c r="R58" t="s">
        <v>25</v>
      </c>
      <c r="S58">
        <v>8712</v>
      </c>
      <c r="T58">
        <v>3712</v>
      </c>
      <c r="U58">
        <v>74.239999999999995</v>
      </c>
      <c r="V58">
        <v>144901</v>
      </c>
      <c r="W58">
        <v>16.649999999999999</v>
      </c>
      <c r="X58">
        <v>8</v>
      </c>
      <c r="Y58">
        <v>-2.1999999999999993</v>
      </c>
      <c r="Z58">
        <v>-21.568627450980387</v>
      </c>
      <c r="AA58">
        <v>43622.9</v>
      </c>
    </row>
    <row r="59" spans="2:27" x14ac:dyDescent="0.25">
      <c r="B59">
        <v>42000</v>
      </c>
      <c r="C59" t="s">
        <v>50</v>
      </c>
      <c r="D59">
        <v>42000</v>
      </c>
      <c r="E59" t="s">
        <v>50</v>
      </c>
      <c r="F59" t="s">
        <v>25</v>
      </c>
      <c r="G59">
        <v>4100</v>
      </c>
      <c r="H59">
        <v>-523</v>
      </c>
      <c r="I59">
        <v>-11.313000216309756</v>
      </c>
      <c r="J59">
        <v>4637</v>
      </c>
      <c r="K59">
        <v>0</v>
      </c>
      <c r="L59">
        <v>1685</v>
      </c>
      <c r="M59">
        <v>-91.400000000000077</v>
      </c>
      <c r="N59">
        <v>-5.1452375591083133</v>
      </c>
      <c r="O59">
        <v>43622.9</v>
      </c>
      <c r="P59">
        <v>42000</v>
      </c>
      <c r="Q59" t="s">
        <v>50</v>
      </c>
      <c r="R59" t="s">
        <v>25</v>
      </c>
      <c r="S59">
        <v>97394</v>
      </c>
      <c r="T59">
        <v>28840</v>
      </c>
      <c r="U59">
        <v>42.06902587741051</v>
      </c>
      <c r="V59">
        <v>617162</v>
      </c>
      <c r="W59">
        <v>16.010000000000002</v>
      </c>
      <c r="X59">
        <v>8.6</v>
      </c>
      <c r="Y59">
        <v>-3.1500000000000004</v>
      </c>
      <c r="Z59">
        <v>-26.808510638297879</v>
      </c>
      <c r="AA59">
        <v>43622.9</v>
      </c>
    </row>
    <row r="60" spans="2:27" x14ac:dyDescent="0.25">
      <c r="B60">
        <v>42100</v>
      </c>
      <c r="C60" t="s">
        <v>50</v>
      </c>
      <c r="D60">
        <v>42100</v>
      </c>
      <c r="E60" t="s">
        <v>50</v>
      </c>
      <c r="F60" t="s">
        <v>25</v>
      </c>
      <c r="G60">
        <v>248</v>
      </c>
      <c r="H60">
        <v>13</v>
      </c>
      <c r="I60">
        <v>5.5319148936170217</v>
      </c>
      <c r="J60">
        <v>149</v>
      </c>
      <c r="K60">
        <v>0</v>
      </c>
      <c r="L60">
        <v>1582.45</v>
      </c>
      <c r="M60">
        <v>-92.099999999999923</v>
      </c>
      <c r="N60">
        <v>-5.4999850706159812</v>
      </c>
      <c r="O60">
        <v>43622.9</v>
      </c>
      <c r="P60">
        <v>42100</v>
      </c>
      <c r="Q60" t="s">
        <v>50</v>
      </c>
      <c r="R60" t="s">
        <v>25</v>
      </c>
      <c r="S60">
        <v>14405</v>
      </c>
      <c r="T60">
        <v>9390</v>
      </c>
      <c r="U60">
        <v>187.23828514456631</v>
      </c>
      <c r="V60">
        <v>196113</v>
      </c>
      <c r="W60">
        <v>15.46</v>
      </c>
      <c r="X60">
        <v>10</v>
      </c>
      <c r="Y60">
        <v>-3</v>
      </c>
      <c r="Z60">
        <v>-23.076923076923077</v>
      </c>
      <c r="AA60">
        <v>43622.9</v>
      </c>
    </row>
    <row r="61" spans="2:27" x14ac:dyDescent="0.25">
      <c r="B61">
        <v>42200</v>
      </c>
      <c r="C61" t="s">
        <v>50</v>
      </c>
      <c r="D61">
        <v>42200</v>
      </c>
      <c r="E61" t="s">
        <v>50</v>
      </c>
      <c r="F61" t="s">
        <v>25</v>
      </c>
      <c r="G61">
        <v>294</v>
      </c>
      <c r="H61">
        <v>4</v>
      </c>
      <c r="I61">
        <v>1.3793103448275863</v>
      </c>
      <c r="J61">
        <v>185</v>
      </c>
      <c r="K61">
        <v>0</v>
      </c>
      <c r="L61">
        <v>1472.3</v>
      </c>
      <c r="M61">
        <v>-107.25</v>
      </c>
      <c r="N61">
        <v>-6.7899085182488692</v>
      </c>
      <c r="O61">
        <v>43622.9</v>
      </c>
      <c r="P61">
        <v>42200</v>
      </c>
      <c r="Q61" t="s">
        <v>50</v>
      </c>
      <c r="R61" t="s">
        <v>25</v>
      </c>
      <c r="S61">
        <v>27832</v>
      </c>
      <c r="T61">
        <v>15868</v>
      </c>
      <c r="U61">
        <v>132.63122701437646</v>
      </c>
      <c r="V61">
        <v>236624</v>
      </c>
      <c r="W61">
        <v>15.19</v>
      </c>
      <c r="X61">
        <v>12.3</v>
      </c>
      <c r="Y61">
        <v>-1.5</v>
      </c>
      <c r="Z61">
        <v>-10.869565217391305</v>
      </c>
      <c r="AA61">
        <v>43622.9</v>
      </c>
    </row>
    <row r="62" spans="2:27" x14ac:dyDescent="0.25">
      <c r="B62">
        <v>42300</v>
      </c>
      <c r="C62" t="s">
        <v>50</v>
      </c>
      <c r="D62">
        <v>42300</v>
      </c>
      <c r="E62" t="s">
        <v>50</v>
      </c>
      <c r="F62" t="s">
        <v>25</v>
      </c>
      <c r="G62">
        <v>261</v>
      </c>
      <c r="H62">
        <v>134</v>
      </c>
      <c r="I62">
        <v>105.51181102362204</v>
      </c>
      <c r="J62">
        <v>328</v>
      </c>
      <c r="K62">
        <v>0</v>
      </c>
      <c r="L62">
        <v>1375.25</v>
      </c>
      <c r="M62">
        <v>-103</v>
      </c>
      <c r="N62">
        <v>-6.9676982918992048</v>
      </c>
      <c r="O62">
        <v>43622.9</v>
      </c>
      <c r="P62">
        <v>42300</v>
      </c>
      <c r="Q62" t="s">
        <v>50</v>
      </c>
      <c r="R62" t="s">
        <v>25</v>
      </c>
      <c r="S62">
        <v>21865</v>
      </c>
      <c r="T62">
        <v>8330</v>
      </c>
      <c r="U62">
        <v>61.544144809752495</v>
      </c>
      <c r="V62">
        <v>260670</v>
      </c>
      <c r="W62">
        <v>14.57</v>
      </c>
      <c r="X62">
        <v>13.4</v>
      </c>
      <c r="Y62">
        <v>-2.4000000000000004</v>
      </c>
      <c r="Z62">
        <v>-15.18987341772152</v>
      </c>
      <c r="AA62">
        <v>43622.9</v>
      </c>
    </row>
    <row r="63" spans="2:27" x14ac:dyDescent="0.25">
      <c r="B63">
        <v>42400</v>
      </c>
      <c r="C63" t="s">
        <v>50</v>
      </c>
      <c r="D63">
        <v>42400</v>
      </c>
      <c r="E63" t="s">
        <v>50</v>
      </c>
      <c r="F63" t="s">
        <v>25</v>
      </c>
      <c r="G63">
        <v>390</v>
      </c>
      <c r="H63">
        <v>71</v>
      </c>
      <c r="I63">
        <v>22.257053291536049</v>
      </c>
      <c r="J63">
        <v>191</v>
      </c>
      <c r="K63">
        <v>0</v>
      </c>
      <c r="L63">
        <v>1272.25</v>
      </c>
      <c r="M63">
        <v>-113.59999999999992</v>
      </c>
      <c r="N63">
        <v>-8.1971353321066438</v>
      </c>
      <c r="O63">
        <v>43622.9</v>
      </c>
      <c r="P63">
        <v>42400</v>
      </c>
      <c r="Q63" t="s">
        <v>50</v>
      </c>
      <c r="R63" t="s">
        <v>25</v>
      </c>
      <c r="S63">
        <v>16729</v>
      </c>
      <c r="T63">
        <v>10077</v>
      </c>
      <c r="U63">
        <v>151.48827420324713</v>
      </c>
      <c r="V63">
        <v>282907</v>
      </c>
      <c r="W63">
        <v>14.14</v>
      </c>
      <c r="X63">
        <v>16</v>
      </c>
      <c r="Y63">
        <v>-2.6999999999999993</v>
      </c>
      <c r="Z63">
        <v>-14.438502673796789</v>
      </c>
      <c r="AA63">
        <v>43622.9</v>
      </c>
    </row>
    <row r="64" spans="2:27" x14ac:dyDescent="0.25">
      <c r="B64">
        <v>42500</v>
      </c>
      <c r="C64" t="s">
        <v>50</v>
      </c>
      <c r="D64">
        <v>42500</v>
      </c>
      <c r="E64" t="s">
        <v>50</v>
      </c>
      <c r="F64" t="s">
        <v>25</v>
      </c>
      <c r="G64">
        <v>5308</v>
      </c>
      <c r="H64">
        <v>-321</v>
      </c>
      <c r="I64">
        <v>-5.7026114762835318</v>
      </c>
      <c r="J64">
        <v>5111</v>
      </c>
      <c r="K64">
        <v>10.97</v>
      </c>
      <c r="L64">
        <v>1198.25</v>
      </c>
      <c r="M64">
        <v>-102.45000000000005</v>
      </c>
      <c r="N64">
        <v>-7.8765280233720354</v>
      </c>
      <c r="O64">
        <v>43622.9</v>
      </c>
      <c r="P64">
        <v>42500</v>
      </c>
      <c r="Q64" t="s">
        <v>50</v>
      </c>
      <c r="R64" t="s">
        <v>25</v>
      </c>
      <c r="S64">
        <v>53167</v>
      </c>
      <c r="T64">
        <v>15218</v>
      </c>
      <c r="U64">
        <v>40.101188437112967</v>
      </c>
      <c r="V64">
        <v>779785</v>
      </c>
      <c r="W64">
        <v>13.64</v>
      </c>
      <c r="X64">
        <v>18.55</v>
      </c>
      <c r="Y64">
        <v>-4</v>
      </c>
      <c r="Z64">
        <v>-17.738359201773836</v>
      </c>
      <c r="AA64">
        <v>43622.9</v>
      </c>
    </row>
    <row r="65" spans="2:27" x14ac:dyDescent="0.25">
      <c r="B65">
        <v>42600</v>
      </c>
      <c r="C65" t="s">
        <v>50</v>
      </c>
      <c r="D65">
        <v>42600</v>
      </c>
      <c r="E65" t="s">
        <v>50</v>
      </c>
      <c r="F65" t="s">
        <v>25</v>
      </c>
      <c r="G65">
        <v>415</v>
      </c>
      <c r="H65">
        <v>113</v>
      </c>
      <c r="I65">
        <v>37.41721854304636</v>
      </c>
      <c r="J65">
        <v>541</v>
      </c>
      <c r="K65">
        <v>0</v>
      </c>
      <c r="L65">
        <v>1082.45</v>
      </c>
      <c r="M65">
        <v>-114.34999999999992</v>
      </c>
      <c r="N65">
        <v>-9.5546457219251284</v>
      </c>
      <c r="O65">
        <v>43622.9</v>
      </c>
      <c r="P65">
        <v>42600</v>
      </c>
      <c r="Q65" t="s">
        <v>50</v>
      </c>
      <c r="R65" t="s">
        <v>25</v>
      </c>
      <c r="S65">
        <v>17374</v>
      </c>
      <c r="T65">
        <v>8177</v>
      </c>
      <c r="U65">
        <v>88.909426987060996</v>
      </c>
      <c r="V65">
        <v>370752</v>
      </c>
      <c r="W65">
        <v>13.27</v>
      </c>
      <c r="X65">
        <v>21.9</v>
      </c>
      <c r="Y65">
        <v>-4.6000000000000014</v>
      </c>
      <c r="Z65">
        <v>-17.358490566037741</v>
      </c>
      <c r="AA65">
        <v>43622.9</v>
      </c>
    </row>
    <row r="66" spans="2:27" x14ac:dyDescent="0.25">
      <c r="B66">
        <v>42700</v>
      </c>
      <c r="C66" t="s">
        <v>50</v>
      </c>
      <c r="D66">
        <v>42700</v>
      </c>
      <c r="E66" t="s">
        <v>50</v>
      </c>
      <c r="F66" t="s">
        <v>25</v>
      </c>
      <c r="G66">
        <v>718</v>
      </c>
      <c r="H66">
        <v>465</v>
      </c>
      <c r="I66">
        <v>183.79446640316209</v>
      </c>
      <c r="J66">
        <v>4238</v>
      </c>
      <c r="K66">
        <v>9.44</v>
      </c>
      <c r="L66">
        <v>998.75</v>
      </c>
      <c r="M66">
        <v>-104.25</v>
      </c>
      <c r="N66">
        <v>-9.4514959202175888</v>
      </c>
      <c r="O66">
        <v>43622.9</v>
      </c>
      <c r="P66">
        <v>42700</v>
      </c>
      <c r="Q66" t="s">
        <v>50</v>
      </c>
      <c r="R66" t="s">
        <v>25</v>
      </c>
      <c r="S66">
        <v>26703</v>
      </c>
      <c r="T66">
        <v>14537</v>
      </c>
      <c r="U66">
        <v>119.48873910899228</v>
      </c>
      <c r="V66">
        <v>446735</v>
      </c>
      <c r="W66">
        <v>12.91</v>
      </c>
      <c r="X66">
        <v>26.2</v>
      </c>
      <c r="Y66">
        <v>-5.6999999999999993</v>
      </c>
      <c r="Z66">
        <v>-17.868338557993731</v>
      </c>
      <c r="AA66">
        <v>43622.9</v>
      </c>
    </row>
    <row r="67" spans="2:27" x14ac:dyDescent="0.25">
      <c r="B67">
        <v>42800</v>
      </c>
      <c r="C67" t="s">
        <v>50</v>
      </c>
      <c r="D67">
        <v>42800</v>
      </c>
      <c r="E67" t="s">
        <v>50</v>
      </c>
      <c r="F67" t="s">
        <v>25</v>
      </c>
      <c r="G67">
        <v>927</v>
      </c>
      <c r="H67">
        <v>27</v>
      </c>
      <c r="I67">
        <v>3</v>
      </c>
      <c r="J67">
        <v>6428</v>
      </c>
      <c r="K67">
        <v>11.66</v>
      </c>
      <c r="L67">
        <v>917.7</v>
      </c>
      <c r="M67">
        <v>-91.899999999999977</v>
      </c>
      <c r="N67">
        <v>-9.1026148969889036</v>
      </c>
      <c r="O67">
        <v>43622.9</v>
      </c>
      <c r="P67">
        <v>42800</v>
      </c>
      <c r="Q67" t="s">
        <v>50</v>
      </c>
      <c r="R67" t="s">
        <v>25</v>
      </c>
      <c r="S67">
        <v>39918</v>
      </c>
      <c r="T67">
        <v>22630</v>
      </c>
      <c r="U67">
        <v>130.90004627487275</v>
      </c>
      <c r="V67">
        <v>526994</v>
      </c>
      <c r="W67">
        <v>12.53</v>
      </c>
      <c r="X67">
        <v>31.7</v>
      </c>
      <c r="Y67">
        <v>-7.8499999999999979</v>
      </c>
      <c r="Z67">
        <v>-19.848293299620728</v>
      </c>
      <c r="AA67">
        <v>43622.9</v>
      </c>
    </row>
    <row r="68" spans="2:27" x14ac:dyDescent="0.25">
      <c r="B68">
        <v>42900</v>
      </c>
      <c r="C68" t="s">
        <v>50</v>
      </c>
      <c r="D68">
        <v>42900</v>
      </c>
      <c r="E68" t="s">
        <v>50</v>
      </c>
      <c r="F68" t="s">
        <v>25</v>
      </c>
      <c r="G68">
        <v>937</v>
      </c>
      <c r="H68">
        <v>377</v>
      </c>
      <c r="I68">
        <v>67.321428571428569</v>
      </c>
      <c r="J68">
        <v>5018</v>
      </c>
      <c r="K68">
        <v>10.94</v>
      </c>
      <c r="L68">
        <v>820.5</v>
      </c>
      <c r="M68">
        <v>-104.10000000000002</v>
      </c>
      <c r="N68">
        <v>-11.258922777417265</v>
      </c>
      <c r="O68">
        <v>43622.9</v>
      </c>
      <c r="P68">
        <v>42900</v>
      </c>
      <c r="Q68" t="s">
        <v>50</v>
      </c>
      <c r="R68" t="s">
        <v>25</v>
      </c>
      <c r="S68">
        <v>27639</v>
      </c>
      <c r="T68">
        <v>14151</v>
      </c>
      <c r="U68">
        <v>104.91548042704626</v>
      </c>
      <c r="V68">
        <v>534164</v>
      </c>
      <c r="W68">
        <v>12.15</v>
      </c>
      <c r="X68">
        <v>39.700000000000003</v>
      </c>
      <c r="Y68">
        <v>-7.6999999999999957</v>
      </c>
      <c r="Z68">
        <v>-16.244725738396614</v>
      </c>
      <c r="AA68">
        <v>43622.9</v>
      </c>
    </row>
    <row r="69" spans="2:27" x14ac:dyDescent="0.25">
      <c r="B69">
        <v>43000</v>
      </c>
      <c r="C69" t="s">
        <v>50</v>
      </c>
      <c r="D69">
        <v>43000</v>
      </c>
      <c r="E69" t="s">
        <v>50</v>
      </c>
      <c r="F69" t="s">
        <v>25</v>
      </c>
      <c r="G69">
        <v>31624</v>
      </c>
      <c r="H69">
        <v>-8465</v>
      </c>
      <c r="I69">
        <v>-21.115517972511164</v>
      </c>
      <c r="J69">
        <v>91922</v>
      </c>
      <c r="K69">
        <v>10.6</v>
      </c>
      <c r="L69">
        <v>732</v>
      </c>
      <c r="M69">
        <v>-100.89999999999998</v>
      </c>
      <c r="N69">
        <v>-12.114299435706563</v>
      </c>
      <c r="O69">
        <v>43622.9</v>
      </c>
      <c r="P69">
        <v>43000</v>
      </c>
      <c r="Q69" t="s">
        <v>50</v>
      </c>
      <c r="R69" t="s">
        <v>25</v>
      </c>
      <c r="S69">
        <v>119074</v>
      </c>
      <c r="T69">
        <v>11001</v>
      </c>
      <c r="U69">
        <v>10.179230705171504</v>
      </c>
      <c r="V69">
        <v>1794742</v>
      </c>
      <c r="W69">
        <v>12.03</v>
      </c>
      <c r="X69">
        <v>50.65</v>
      </c>
      <c r="Y69">
        <v>-7.6000000000000014</v>
      </c>
      <c r="Z69">
        <v>-13.047210300429189</v>
      </c>
      <c r="AA69">
        <v>43622.9</v>
      </c>
    </row>
    <row r="70" spans="2:27" x14ac:dyDescent="0.25">
      <c r="B70">
        <v>43100</v>
      </c>
      <c r="C70" t="s">
        <v>50</v>
      </c>
      <c r="D70">
        <v>43100</v>
      </c>
      <c r="E70" t="s">
        <v>50</v>
      </c>
      <c r="F70" t="s">
        <v>25</v>
      </c>
      <c r="G70">
        <v>2658</v>
      </c>
      <c r="H70">
        <v>1542</v>
      </c>
      <c r="I70">
        <v>138.1720430107527</v>
      </c>
      <c r="J70">
        <v>30054</v>
      </c>
      <c r="K70">
        <v>10.87</v>
      </c>
      <c r="L70">
        <v>645</v>
      </c>
      <c r="M70">
        <v>-100.25</v>
      </c>
      <c r="N70">
        <v>-13.451861791345184</v>
      </c>
      <c r="O70">
        <v>43622.9</v>
      </c>
      <c r="P70">
        <v>43100</v>
      </c>
      <c r="Q70" t="s">
        <v>50</v>
      </c>
      <c r="R70" t="s">
        <v>25</v>
      </c>
      <c r="S70">
        <v>24979</v>
      </c>
      <c r="T70">
        <v>12432</v>
      </c>
      <c r="U70">
        <v>99.083446242129597</v>
      </c>
      <c r="V70">
        <v>808601</v>
      </c>
      <c r="W70">
        <v>11.72</v>
      </c>
      <c r="X70">
        <v>64.05</v>
      </c>
      <c r="Y70">
        <v>-7</v>
      </c>
      <c r="Z70">
        <v>-9.8522167487684715</v>
      </c>
      <c r="AA70">
        <v>43622.9</v>
      </c>
    </row>
    <row r="71" spans="2:27" x14ac:dyDescent="0.25">
      <c r="B71">
        <v>43200</v>
      </c>
      <c r="C71" t="s">
        <v>50</v>
      </c>
      <c r="D71">
        <v>43200</v>
      </c>
      <c r="E71" t="s">
        <v>50</v>
      </c>
      <c r="F71" t="s">
        <v>25</v>
      </c>
      <c r="G71">
        <v>4669</v>
      </c>
      <c r="H71">
        <v>3117</v>
      </c>
      <c r="I71">
        <v>200.83762886597935</v>
      </c>
      <c r="J71">
        <v>86235</v>
      </c>
      <c r="K71">
        <v>10.64</v>
      </c>
      <c r="L71">
        <v>558.1</v>
      </c>
      <c r="M71">
        <v>-103.35000000000002</v>
      </c>
      <c r="N71">
        <v>-15.624763776551518</v>
      </c>
      <c r="O71">
        <v>43622.9</v>
      </c>
      <c r="P71">
        <v>43200</v>
      </c>
      <c r="Q71" t="s">
        <v>50</v>
      </c>
      <c r="R71" t="s">
        <v>25</v>
      </c>
      <c r="S71">
        <v>42000</v>
      </c>
      <c r="T71">
        <v>16086</v>
      </c>
      <c r="U71">
        <v>62.074554294975691</v>
      </c>
      <c r="V71">
        <v>1322621</v>
      </c>
      <c r="W71">
        <v>11.4</v>
      </c>
      <c r="X71">
        <v>79.150000000000006</v>
      </c>
      <c r="Y71">
        <v>-8</v>
      </c>
      <c r="Z71">
        <v>-9.1795754446356845</v>
      </c>
      <c r="AA71">
        <v>43622.9</v>
      </c>
    </row>
    <row r="72" spans="2:27" x14ac:dyDescent="0.25">
      <c r="B72">
        <v>43300</v>
      </c>
      <c r="C72" t="s">
        <v>50</v>
      </c>
      <c r="D72">
        <v>43300</v>
      </c>
      <c r="E72" t="s">
        <v>50</v>
      </c>
      <c r="F72" t="s">
        <v>25</v>
      </c>
      <c r="G72">
        <v>8293</v>
      </c>
      <c r="H72">
        <v>6135</v>
      </c>
      <c r="I72">
        <v>284.29101019462468</v>
      </c>
      <c r="J72">
        <v>178614</v>
      </c>
      <c r="K72">
        <v>10.56</v>
      </c>
      <c r="L72">
        <v>478</v>
      </c>
      <c r="M72">
        <v>-103.39999999999998</v>
      </c>
      <c r="N72">
        <v>-17.784657722738213</v>
      </c>
      <c r="O72">
        <v>43622.9</v>
      </c>
      <c r="P72">
        <v>43300</v>
      </c>
      <c r="Q72" t="s">
        <v>50</v>
      </c>
      <c r="R72" t="s">
        <v>25</v>
      </c>
      <c r="S72">
        <v>57724</v>
      </c>
      <c r="T72">
        <v>28120</v>
      </c>
      <c r="U72">
        <v>94.987163896770724</v>
      </c>
      <c r="V72">
        <v>1488864</v>
      </c>
      <c r="W72">
        <v>11.2</v>
      </c>
      <c r="X72">
        <v>100.45</v>
      </c>
      <c r="Y72">
        <v>-6.3499999999999943</v>
      </c>
      <c r="Z72">
        <v>-5.9456928838951262</v>
      </c>
      <c r="AA72">
        <v>43622.9</v>
      </c>
    </row>
    <row r="73" spans="2:27" x14ac:dyDescent="0.25">
      <c r="B73">
        <v>43400</v>
      </c>
      <c r="C73" t="s">
        <v>50</v>
      </c>
      <c r="D73">
        <v>43400</v>
      </c>
      <c r="E73" t="s">
        <v>50</v>
      </c>
      <c r="F73" t="s">
        <v>25</v>
      </c>
      <c r="G73">
        <v>19437</v>
      </c>
      <c r="H73">
        <v>16041</v>
      </c>
      <c r="I73">
        <v>472.34982332155482</v>
      </c>
      <c r="J73">
        <v>530226</v>
      </c>
      <c r="K73">
        <v>10.47</v>
      </c>
      <c r="L73">
        <v>409.7</v>
      </c>
      <c r="M73">
        <v>-96.55</v>
      </c>
      <c r="N73">
        <v>-19.071604938271609</v>
      </c>
      <c r="O73">
        <v>43622.9</v>
      </c>
      <c r="P73">
        <v>43400</v>
      </c>
      <c r="Q73" t="s">
        <v>50</v>
      </c>
      <c r="R73" t="s">
        <v>25</v>
      </c>
      <c r="S73">
        <v>33949</v>
      </c>
      <c r="T73">
        <v>17693</v>
      </c>
      <c r="U73">
        <v>108.839812992126</v>
      </c>
      <c r="V73">
        <v>1531329</v>
      </c>
      <c r="W73">
        <v>11.08</v>
      </c>
      <c r="X73">
        <v>125.35</v>
      </c>
      <c r="Y73">
        <v>-6.0999999999999943</v>
      </c>
      <c r="Z73">
        <v>-4.6405477367820431</v>
      </c>
      <c r="AA73">
        <v>43622.9</v>
      </c>
    </row>
    <row r="74" spans="2:27" x14ac:dyDescent="0.25">
      <c r="B74">
        <v>43500</v>
      </c>
      <c r="C74" t="s">
        <v>50</v>
      </c>
      <c r="D74">
        <v>43500</v>
      </c>
      <c r="E74" t="s">
        <v>50</v>
      </c>
      <c r="F74" t="s">
        <v>25</v>
      </c>
      <c r="G74">
        <v>77102</v>
      </c>
      <c r="H74">
        <v>50243</v>
      </c>
      <c r="I74">
        <v>187.06206485721731</v>
      </c>
      <c r="J74">
        <v>1778794</v>
      </c>
      <c r="K74">
        <v>10.130000000000001</v>
      </c>
      <c r="L74">
        <v>337.45</v>
      </c>
      <c r="M74">
        <v>-96.100000000000023</v>
      </c>
      <c r="N74">
        <v>-22.165840156844659</v>
      </c>
      <c r="O74">
        <v>43622.9</v>
      </c>
      <c r="P74">
        <v>43500</v>
      </c>
      <c r="Q74" t="s">
        <v>50</v>
      </c>
      <c r="R74" t="s">
        <v>25</v>
      </c>
      <c r="S74">
        <v>153007</v>
      </c>
      <c r="T74">
        <v>71854</v>
      </c>
      <c r="U74">
        <v>88.54139711409313</v>
      </c>
      <c r="V74">
        <v>3891095</v>
      </c>
      <c r="W74">
        <v>10.91</v>
      </c>
      <c r="X74">
        <v>158.05000000000001</v>
      </c>
      <c r="Y74">
        <v>-3.1499999999999773</v>
      </c>
      <c r="Z74">
        <v>-1.9540942928039564</v>
      </c>
      <c r="AA74">
        <v>43622.9</v>
      </c>
    </row>
    <row r="75" spans="2:27" x14ac:dyDescent="0.25">
      <c r="B75">
        <v>43600</v>
      </c>
      <c r="C75" t="s">
        <v>50</v>
      </c>
      <c r="D75">
        <v>43600</v>
      </c>
      <c r="E75" t="s">
        <v>50</v>
      </c>
      <c r="F75" t="s">
        <v>25</v>
      </c>
      <c r="G75">
        <v>42759</v>
      </c>
      <c r="H75">
        <v>30737</v>
      </c>
      <c r="I75">
        <v>255.67293295624688</v>
      </c>
      <c r="J75">
        <v>2729334</v>
      </c>
      <c r="K75">
        <v>9.93</v>
      </c>
      <c r="L75">
        <v>271.7</v>
      </c>
      <c r="M75">
        <v>-97.75</v>
      </c>
      <c r="N75">
        <v>-26.45824874813913</v>
      </c>
      <c r="O75">
        <v>43622.9</v>
      </c>
      <c r="P75">
        <v>43600</v>
      </c>
      <c r="Q75" t="s">
        <v>50</v>
      </c>
      <c r="R75" t="s">
        <v>25</v>
      </c>
      <c r="S75">
        <v>68741</v>
      </c>
      <c r="T75">
        <v>48193</v>
      </c>
      <c r="U75">
        <v>234.53864123029004</v>
      </c>
      <c r="V75">
        <v>4267706</v>
      </c>
      <c r="W75">
        <v>10.7</v>
      </c>
      <c r="X75">
        <v>194.6</v>
      </c>
      <c r="Y75">
        <v>-0.5</v>
      </c>
      <c r="Z75">
        <v>-0.25627883136852897</v>
      </c>
      <c r="AA75">
        <v>43622.9</v>
      </c>
    </row>
    <row r="76" spans="2:27" x14ac:dyDescent="0.25">
      <c r="B76">
        <v>43700</v>
      </c>
      <c r="C76" t="s">
        <v>50</v>
      </c>
      <c r="D76">
        <v>43700</v>
      </c>
      <c r="E76" t="s">
        <v>50</v>
      </c>
      <c r="F76" t="s">
        <v>25</v>
      </c>
      <c r="G76">
        <v>78988</v>
      </c>
      <c r="H76">
        <v>48868</v>
      </c>
      <c r="I76">
        <v>162.24435590969455</v>
      </c>
      <c r="J76">
        <v>4081939</v>
      </c>
      <c r="K76">
        <v>10.07</v>
      </c>
      <c r="L76">
        <v>222</v>
      </c>
      <c r="M76">
        <v>-86.149999999999977</v>
      </c>
      <c r="N76">
        <v>-27.95716371896803</v>
      </c>
      <c r="O76">
        <v>43622.9</v>
      </c>
      <c r="P76">
        <v>43700</v>
      </c>
      <c r="Q76" t="s">
        <v>50</v>
      </c>
      <c r="R76" t="s">
        <v>25</v>
      </c>
      <c r="S76">
        <v>69288</v>
      </c>
      <c r="T76">
        <v>40001</v>
      </c>
      <c r="U76">
        <v>136.58278417045105</v>
      </c>
      <c r="V76">
        <v>4865709</v>
      </c>
      <c r="W76">
        <v>10.64</v>
      </c>
      <c r="X76">
        <v>240</v>
      </c>
      <c r="Y76">
        <v>5.25</v>
      </c>
      <c r="Z76">
        <v>2.2364217252396164</v>
      </c>
      <c r="AA76">
        <v>43622.9</v>
      </c>
    </row>
    <row r="77" spans="2:27" x14ac:dyDescent="0.25">
      <c r="B77">
        <v>43800</v>
      </c>
      <c r="C77" t="s">
        <v>50</v>
      </c>
      <c r="D77">
        <v>43800</v>
      </c>
      <c r="E77" t="s">
        <v>50</v>
      </c>
      <c r="F77" t="s">
        <v>25</v>
      </c>
      <c r="G77">
        <v>105045</v>
      </c>
      <c r="H77">
        <v>52959</v>
      </c>
      <c r="I77">
        <v>101.67607418500172</v>
      </c>
      <c r="J77">
        <v>3683248</v>
      </c>
      <c r="K77">
        <v>9.8800000000000008</v>
      </c>
      <c r="L77">
        <v>172.2</v>
      </c>
      <c r="M77">
        <v>-83.4</v>
      </c>
      <c r="N77">
        <v>-32.629107981220663</v>
      </c>
      <c r="O77">
        <v>43622.9</v>
      </c>
      <c r="P77">
        <v>43800</v>
      </c>
      <c r="Q77" t="s">
        <v>50</v>
      </c>
      <c r="R77" t="s">
        <v>25</v>
      </c>
      <c r="S77">
        <v>42849</v>
      </c>
      <c r="T77">
        <v>3705</v>
      </c>
      <c r="U77">
        <v>9.4650521152667082</v>
      </c>
      <c r="V77">
        <v>2902036</v>
      </c>
      <c r="W77">
        <v>10.46</v>
      </c>
      <c r="X77">
        <v>291.8</v>
      </c>
      <c r="Y77">
        <v>12</v>
      </c>
      <c r="Z77">
        <v>4.2887776983559682</v>
      </c>
      <c r="AA77">
        <v>43622.9</v>
      </c>
    </row>
    <row r="78" spans="2:27" x14ac:dyDescent="0.25">
      <c r="B78">
        <v>43900</v>
      </c>
      <c r="C78" t="s">
        <v>50</v>
      </c>
      <c r="D78">
        <v>43900</v>
      </c>
      <c r="E78" t="s">
        <v>50</v>
      </c>
      <c r="F78" t="s">
        <v>25</v>
      </c>
      <c r="G78">
        <v>66075</v>
      </c>
      <c r="H78">
        <v>22420</v>
      </c>
      <c r="I78">
        <v>51.357232848470957</v>
      </c>
      <c r="J78">
        <v>2001320</v>
      </c>
      <c r="K78">
        <v>9.86</v>
      </c>
      <c r="L78">
        <v>130.4</v>
      </c>
      <c r="M78">
        <v>-77.199999999999989</v>
      </c>
      <c r="N78">
        <v>-37.18689788053949</v>
      </c>
      <c r="O78">
        <v>43622.9</v>
      </c>
      <c r="P78">
        <v>43900</v>
      </c>
      <c r="Q78" t="s">
        <v>50</v>
      </c>
      <c r="R78" t="s">
        <v>25</v>
      </c>
      <c r="S78">
        <v>19717</v>
      </c>
      <c r="T78">
        <v>4503</v>
      </c>
      <c r="U78">
        <v>29.597738924674641</v>
      </c>
      <c r="V78">
        <v>1256129</v>
      </c>
      <c r="W78">
        <v>10.65</v>
      </c>
      <c r="X78">
        <v>351.25</v>
      </c>
      <c r="Y78">
        <v>18.5</v>
      </c>
      <c r="Z78">
        <v>5.559729526671676</v>
      </c>
      <c r="AA78">
        <v>43622.9</v>
      </c>
    </row>
    <row r="79" spans="2:27" x14ac:dyDescent="0.25">
      <c r="B79">
        <v>44000</v>
      </c>
      <c r="C79" t="s">
        <v>50</v>
      </c>
      <c r="D79">
        <v>44000</v>
      </c>
      <c r="E79" t="s">
        <v>50</v>
      </c>
      <c r="F79" t="s">
        <v>25</v>
      </c>
      <c r="G79">
        <v>136249</v>
      </c>
      <c r="H79">
        <v>15573</v>
      </c>
      <c r="I79">
        <v>12.904802943418741</v>
      </c>
      <c r="J79">
        <v>2924941</v>
      </c>
      <c r="K79">
        <v>9.82</v>
      </c>
      <c r="L79">
        <v>100.3</v>
      </c>
      <c r="M79">
        <v>-64.55</v>
      </c>
      <c r="N79">
        <v>-39.156809220503483</v>
      </c>
      <c r="O79">
        <v>43622.9</v>
      </c>
      <c r="P79">
        <v>44000</v>
      </c>
      <c r="Q79" t="s">
        <v>50</v>
      </c>
      <c r="R79" t="s">
        <v>25</v>
      </c>
      <c r="S79">
        <v>46379</v>
      </c>
      <c r="T79">
        <v>-17158</v>
      </c>
      <c r="U79">
        <v>-27.004737397107199</v>
      </c>
      <c r="V79">
        <v>1164514</v>
      </c>
      <c r="W79">
        <v>10.54</v>
      </c>
      <c r="X79">
        <v>420</v>
      </c>
      <c r="Y79">
        <v>27</v>
      </c>
      <c r="Z79">
        <v>6.8702290076335881</v>
      </c>
      <c r="AA79">
        <v>43622.9</v>
      </c>
    </row>
    <row r="80" spans="2:27" x14ac:dyDescent="0.25">
      <c r="B80">
        <v>44100</v>
      </c>
      <c r="C80" t="s">
        <v>50</v>
      </c>
      <c r="D80">
        <v>44100</v>
      </c>
      <c r="E80" t="s">
        <v>50</v>
      </c>
      <c r="F80" t="s">
        <v>25</v>
      </c>
      <c r="G80">
        <v>50736</v>
      </c>
      <c r="H80">
        <v>24285</v>
      </c>
      <c r="I80">
        <v>91.811273675853485</v>
      </c>
      <c r="J80">
        <v>1469572</v>
      </c>
      <c r="K80">
        <v>9.82</v>
      </c>
      <c r="L80">
        <v>75</v>
      </c>
      <c r="M80">
        <v>-54.650000000000006</v>
      </c>
      <c r="N80">
        <v>-42.15194755109912</v>
      </c>
      <c r="O80">
        <v>43622.9</v>
      </c>
      <c r="P80">
        <v>44100</v>
      </c>
      <c r="Q80" t="s">
        <v>50</v>
      </c>
      <c r="R80" t="s">
        <v>25</v>
      </c>
      <c r="S80">
        <v>7990</v>
      </c>
      <c r="T80">
        <v>3098</v>
      </c>
      <c r="U80">
        <v>63.32788225674571</v>
      </c>
      <c r="V80">
        <v>219285</v>
      </c>
      <c r="W80">
        <v>10.79</v>
      </c>
      <c r="X80">
        <v>496.1</v>
      </c>
      <c r="Y80">
        <v>41.75</v>
      </c>
      <c r="Z80">
        <v>9.1889512490370837</v>
      </c>
      <c r="AA80">
        <v>43622.9</v>
      </c>
    </row>
    <row r="81" spans="2:27" x14ac:dyDescent="0.25">
      <c r="B81">
        <v>44200</v>
      </c>
      <c r="C81" t="s">
        <v>50</v>
      </c>
      <c r="D81">
        <v>44200</v>
      </c>
      <c r="E81" t="s">
        <v>50</v>
      </c>
      <c r="F81" t="s">
        <v>25</v>
      </c>
      <c r="G81">
        <v>67952</v>
      </c>
      <c r="H81">
        <v>27588</v>
      </c>
      <c r="I81">
        <v>68.348032900604494</v>
      </c>
      <c r="J81">
        <v>1469579</v>
      </c>
      <c r="K81">
        <v>9.81</v>
      </c>
      <c r="L81">
        <v>53.45</v>
      </c>
      <c r="M81">
        <v>-46.849999999999994</v>
      </c>
      <c r="N81">
        <v>-46.709870388833494</v>
      </c>
      <c r="O81">
        <v>43622.9</v>
      </c>
      <c r="P81">
        <v>44200</v>
      </c>
      <c r="Q81" t="s">
        <v>50</v>
      </c>
      <c r="R81" t="s">
        <v>25</v>
      </c>
      <c r="S81">
        <v>8393</v>
      </c>
      <c r="T81">
        <v>1891</v>
      </c>
      <c r="U81">
        <v>29.083358966471856</v>
      </c>
      <c r="V81">
        <v>166268</v>
      </c>
      <c r="W81">
        <v>10.35</v>
      </c>
      <c r="X81">
        <v>565</v>
      </c>
      <c r="Y81">
        <v>40.700000000000045</v>
      </c>
      <c r="Z81">
        <v>7.7627312607286001</v>
      </c>
      <c r="AA81">
        <v>43622.9</v>
      </c>
    </row>
    <row r="82" spans="2:27" x14ac:dyDescent="0.25">
      <c r="B82">
        <v>44300</v>
      </c>
      <c r="C82" t="s">
        <v>50</v>
      </c>
      <c r="D82">
        <v>44300</v>
      </c>
      <c r="E82" t="s">
        <v>50</v>
      </c>
      <c r="F82" t="s">
        <v>25</v>
      </c>
      <c r="G82">
        <v>56057</v>
      </c>
      <c r="H82">
        <v>25108</v>
      </c>
      <c r="I82">
        <v>81.127015412452749</v>
      </c>
      <c r="J82">
        <v>1127921</v>
      </c>
      <c r="K82">
        <v>9.93</v>
      </c>
      <c r="L82">
        <v>40.049999999999997</v>
      </c>
      <c r="M82">
        <v>-37.450000000000003</v>
      </c>
      <c r="N82">
        <v>-48.322580645161295</v>
      </c>
      <c r="O82">
        <v>43622.9</v>
      </c>
      <c r="P82">
        <v>44300</v>
      </c>
      <c r="Q82" t="s">
        <v>50</v>
      </c>
      <c r="R82" t="s">
        <v>25</v>
      </c>
      <c r="S82">
        <v>4800</v>
      </c>
      <c r="T82">
        <v>1288</v>
      </c>
      <c r="U82">
        <v>36.674259681093389</v>
      </c>
      <c r="V82">
        <v>47728</v>
      </c>
      <c r="W82">
        <v>10.48</v>
      </c>
      <c r="X82">
        <v>662.65</v>
      </c>
      <c r="Y82">
        <v>61.049999999999955</v>
      </c>
      <c r="Z82">
        <v>10.147938829787226</v>
      </c>
      <c r="AA82">
        <v>43622.9</v>
      </c>
    </row>
    <row r="83" spans="2:27" x14ac:dyDescent="0.25">
      <c r="B83">
        <v>44400</v>
      </c>
      <c r="C83" t="s">
        <v>50</v>
      </c>
      <c r="D83">
        <v>44400</v>
      </c>
      <c r="E83" t="s">
        <v>50</v>
      </c>
      <c r="F83" t="s">
        <v>25</v>
      </c>
      <c r="G83">
        <v>52126</v>
      </c>
      <c r="H83">
        <v>26126</v>
      </c>
      <c r="I83">
        <v>100.48461538461538</v>
      </c>
      <c r="J83">
        <v>879529</v>
      </c>
      <c r="K83">
        <v>10.050000000000001</v>
      </c>
      <c r="L83">
        <v>28.65</v>
      </c>
      <c r="M83">
        <v>-30.550000000000004</v>
      </c>
      <c r="N83">
        <v>-51.60472972972974</v>
      </c>
      <c r="O83">
        <v>43622.9</v>
      </c>
      <c r="P83">
        <v>44400</v>
      </c>
      <c r="Q83" t="s">
        <v>50</v>
      </c>
      <c r="R83" t="s">
        <v>25</v>
      </c>
      <c r="S83">
        <v>2240</v>
      </c>
      <c r="T83">
        <v>35</v>
      </c>
      <c r="U83">
        <v>1.5873015873015872</v>
      </c>
      <c r="V83">
        <v>16749</v>
      </c>
      <c r="W83">
        <v>11.38</v>
      </c>
      <c r="X83">
        <v>748.4</v>
      </c>
      <c r="Y83">
        <v>65.449999999999932</v>
      </c>
      <c r="Z83">
        <v>9.5834248480854995</v>
      </c>
      <c r="AA83">
        <v>43622.9</v>
      </c>
    </row>
    <row r="84" spans="2:27" x14ac:dyDescent="0.25">
      <c r="B84">
        <v>44500</v>
      </c>
      <c r="C84" t="s">
        <v>50</v>
      </c>
      <c r="D84">
        <v>44500</v>
      </c>
      <c r="E84" t="s">
        <v>50</v>
      </c>
      <c r="F84" t="s">
        <v>25</v>
      </c>
      <c r="G84">
        <v>93967</v>
      </c>
      <c r="H84">
        <v>28440</v>
      </c>
      <c r="I84">
        <v>43.401956445434706</v>
      </c>
      <c r="J84">
        <v>1317223</v>
      </c>
      <c r="K84">
        <v>10.3</v>
      </c>
      <c r="L84">
        <v>23.9</v>
      </c>
      <c r="M84">
        <v>-21.65</v>
      </c>
      <c r="N84">
        <v>-47.530186608122946</v>
      </c>
      <c r="O84">
        <v>43622.9</v>
      </c>
      <c r="P84">
        <v>44500</v>
      </c>
      <c r="Q84" t="s">
        <v>50</v>
      </c>
      <c r="R84" t="s">
        <v>25</v>
      </c>
      <c r="S84">
        <v>10495</v>
      </c>
      <c r="T84">
        <v>1237</v>
      </c>
      <c r="U84">
        <v>13.361417152732772</v>
      </c>
      <c r="V84">
        <v>36763</v>
      </c>
      <c r="W84">
        <v>11.19</v>
      </c>
      <c r="X84">
        <v>834.5</v>
      </c>
      <c r="Y84">
        <v>63.399999999999977</v>
      </c>
      <c r="Z84">
        <v>8.2220204902087897</v>
      </c>
      <c r="AA84">
        <v>43622.9</v>
      </c>
    </row>
    <row r="85" spans="2:27" x14ac:dyDescent="0.25">
      <c r="B85">
        <v>44600</v>
      </c>
      <c r="C85" t="s">
        <v>50</v>
      </c>
      <c r="D85">
        <v>44600</v>
      </c>
      <c r="E85" t="s">
        <v>50</v>
      </c>
      <c r="F85" t="s">
        <v>25</v>
      </c>
      <c r="G85">
        <v>41803</v>
      </c>
      <c r="H85">
        <v>17307</v>
      </c>
      <c r="I85">
        <v>70.652351404310906</v>
      </c>
      <c r="J85">
        <v>750110</v>
      </c>
      <c r="K85">
        <v>10.56</v>
      </c>
      <c r="L85">
        <v>16.5</v>
      </c>
      <c r="M85">
        <v>-18</v>
      </c>
      <c r="N85">
        <v>-52.173913043478258</v>
      </c>
      <c r="O85">
        <v>43622.9</v>
      </c>
      <c r="P85">
        <v>44600</v>
      </c>
      <c r="Q85" t="s">
        <v>50</v>
      </c>
      <c r="R85" t="s">
        <v>25</v>
      </c>
      <c r="S85">
        <v>735</v>
      </c>
      <c r="T85">
        <v>-8</v>
      </c>
      <c r="U85">
        <v>-1.0767160161507403</v>
      </c>
      <c r="V85">
        <v>2749</v>
      </c>
      <c r="W85">
        <v>12.72</v>
      </c>
      <c r="X85">
        <v>939.65</v>
      </c>
      <c r="Y85">
        <v>81.949999999999932</v>
      </c>
      <c r="Z85">
        <v>9.5546228284948036</v>
      </c>
      <c r="AA85">
        <v>43622.9</v>
      </c>
    </row>
    <row r="86" spans="2:27" x14ac:dyDescent="0.25">
      <c r="B86">
        <v>44700</v>
      </c>
      <c r="C86" t="s">
        <v>50</v>
      </c>
      <c r="D86">
        <v>44700</v>
      </c>
      <c r="E86" t="s">
        <v>50</v>
      </c>
      <c r="F86" t="s">
        <v>25</v>
      </c>
      <c r="G86">
        <v>32253</v>
      </c>
      <c r="H86">
        <v>10701</v>
      </c>
      <c r="I86">
        <v>49.652004454342986</v>
      </c>
      <c r="J86">
        <v>645111</v>
      </c>
      <c r="K86">
        <v>10.89</v>
      </c>
      <c r="L86">
        <v>12.7</v>
      </c>
      <c r="M86">
        <v>-14.05</v>
      </c>
      <c r="N86">
        <v>-52.523364485981318</v>
      </c>
      <c r="O86">
        <v>43622.9</v>
      </c>
      <c r="P86">
        <v>44700</v>
      </c>
      <c r="Q86" t="s">
        <v>50</v>
      </c>
      <c r="R86" t="s">
        <v>25</v>
      </c>
      <c r="S86">
        <v>605</v>
      </c>
      <c r="T86">
        <v>-9</v>
      </c>
      <c r="U86">
        <v>-1.4657980456026058</v>
      </c>
      <c r="V86">
        <v>1440</v>
      </c>
      <c r="W86">
        <v>13.55</v>
      </c>
      <c r="X86">
        <v>1037.9000000000001</v>
      </c>
      <c r="Y86">
        <v>91.100000000000136</v>
      </c>
      <c r="Z86">
        <v>9.6218842416561206</v>
      </c>
      <c r="AA86">
        <v>43622.9</v>
      </c>
    </row>
    <row r="87" spans="2:27" x14ac:dyDescent="0.25">
      <c r="B87">
        <v>44800</v>
      </c>
      <c r="C87" t="s">
        <v>50</v>
      </c>
      <c r="D87">
        <v>44800</v>
      </c>
      <c r="E87" t="s">
        <v>50</v>
      </c>
      <c r="F87" t="s">
        <v>25</v>
      </c>
      <c r="G87">
        <v>36085</v>
      </c>
      <c r="H87">
        <v>13550</v>
      </c>
      <c r="I87">
        <v>60.128688706456622</v>
      </c>
      <c r="J87">
        <v>507754</v>
      </c>
      <c r="K87">
        <v>11.41</v>
      </c>
      <c r="L87">
        <v>10</v>
      </c>
      <c r="M87">
        <v>-11.85</v>
      </c>
      <c r="N87">
        <v>-54.233409610983983</v>
      </c>
      <c r="O87">
        <v>43622.9</v>
      </c>
      <c r="P87">
        <v>44800</v>
      </c>
      <c r="Q87" t="s">
        <v>50</v>
      </c>
      <c r="R87" t="s">
        <v>25</v>
      </c>
      <c r="S87">
        <v>663</v>
      </c>
      <c r="T87">
        <v>-112</v>
      </c>
      <c r="U87">
        <v>-14.451612903225806</v>
      </c>
      <c r="V87">
        <v>1005</v>
      </c>
      <c r="W87">
        <v>14.28</v>
      </c>
      <c r="X87">
        <v>1135.55</v>
      </c>
      <c r="Y87">
        <v>93.549999999999955</v>
      </c>
      <c r="Z87">
        <v>8.9779270633397275</v>
      </c>
      <c r="AA87">
        <v>43622.9</v>
      </c>
    </row>
    <row r="88" spans="2:27" x14ac:dyDescent="0.25">
      <c r="B88">
        <v>44900</v>
      </c>
      <c r="C88" t="s">
        <v>50</v>
      </c>
      <c r="D88">
        <v>44900</v>
      </c>
      <c r="E88" t="s">
        <v>50</v>
      </c>
      <c r="F88" t="s">
        <v>25</v>
      </c>
      <c r="G88">
        <v>20412</v>
      </c>
      <c r="H88">
        <v>5040</v>
      </c>
      <c r="I88">
        <v>32.786885245901637</v>
      </c>
      <c r="J88">
        <v>384503</v>
      </c>
      <c r="K88">
        <v>11.96</v>
      </c>
      <c r="L88">
        <v>9.65</v>
      </c>
      <c r="M88">
        <v>-7.9500000000000011</v>
      </c>
      <c r="N88">
        <v>-45.170454545454547</v>
      </c>
      <c r="O88">
        <v>43622.9</v>
      </c>
      <c r="P88">
        <v>44900</v>
      </c>
      <c r="Q88" t="s">
        <v>50</v>
      </c>
      <c r="R88" t="s">
        <v>25</v>
      </c>
      <c r="S88">
        <v>494</v>
      </c>
      <c r="T88">
        <v>-54</v>
      </c>
      <c r="U88">
        <v>-9.8540145985401484</v>
      </c>
      <c r="V88">
        <v>640</v>
      </c>
      <c r="W88">
        <v>16.170000000000002</v>
      </c>
      <c r="X88">
        <v>1243.95</v>
      </c>
      <c r="Y88">
        <v>102.75</v>
      </c>
      <c r="Z88">
        <v>9.003680336487907</v>
      </c>
      <c r="AA88">
        <v>43622.9</v>
      </c>
    </row>
    <row r="89" spans="2:27" x14ac:dyDescent="0.25">
      <c r="B89">
        <v>45000</v>
      </c>
      <c r="C89" t="s">
        <v>50</v>
      </c>
      <c r="D89">
        <v>45000</v>
      </c>
      <c r="E89" t="s">
        <v>50</v>
      </c>
      <c r="F89" t="s">
        <v>25</v>
      </c>
      <c r="G89">
        <v>123185</v>
      </c>
      <c r="H89">
        <v>34443</v>
      </c>
      <c r="I89">
        <v>38.812512677199074</v>
      </c>
      <c r="J89">
        <v>832826</v>
      </c>
      <c r="K89">
        <v>12.58</v>
      </c>
      <c r="L89">
        <v>9.5500000000000007</v>
      </c>
      <c r="M89">
        <v>-5.5</v>
      </c>
      <c r="N89">
        <v>-36.544850498338874</v>
      </c>
      <c r="O89">
        <v>43622.9</v>
      </c>
      <c r="P89">
        <v>45000</v>
      </c>
      <c r="Q89" t="s">
        <v>50</v>
      </c>
      <c r="R89" t="s">
        <v>25</v>
      </c>
      <c r="S89">
        <v>8235</v>
      </c>
      <c r="T89">
        <v>-268</v>
      </c>
      <c r="U89">
        <v>-3.1518287663177702</v>
      </c>
      <c r="V89">
        <v>6743</v>
      </c>
      <c r="W89">
        <v>14.52</v>
      </c>
      <c r="X89">
        <v>1323.2</v>
      </c>
      <c r="Y89">
        <v>85.950000000000045</v>
      </c>
      <c r="Z89">
        <v>6.9468579511012356</v>
      </c>
      <c r="AA89">
        <v>43622.9</v>
      </c>
    </row>
    <row r="90" spans="2:27" x14ac:dyDescent="0.25">
      <c r="B90">
        <v>45100</v>
      </c>
      <c r="C90" t="s">
        <v>50</v>
      </c>
      <c r="D90">
        <v>45100</v>
      </c>
      <c r="E90" t="s">
        <v>50</v>
      </c>
      <c r="F90" t="s">
        <v>25</v>
      </c>
      <c r="G90">
        <v>26895</v>
      </c>
      <c r="H90">
        <v>11275</v>
      </c>
      <c r="I90">
        <v>72.183098591549296</v>
      </c>
      <c r="J90">
        <v>259650</v>
      </c>
      <c r="K90">
        <v>12.95</v>
      </c>
      <c r="L90">
        <v>8.4</v>
      </c>
      <c r="M90">
        <v>-4</v>
      </c>
      <c r="N90">
        <v>-32.258064516129032</v>
      </c>
      <c r="O90">
        <v>43622.9</v>
      </c>
      <c r="P90">
        <v>45100</v>
      </c>
      <c r="Q90" t="s">
        <v>50</v>
      </c>
      <c r="R90" t="s">
        <v>25</v>
      </c>
      <c r="S90">
        <v>404</v>
      </c>
      <c r="T90">
        <v>-2</v>
      </c>
      <c r="U90">
        <v>-0.49261083743842365</v>
      </c>
      <c r="V90">
        <v>68</v>
      </c>
      <c r="W90">
        <v>16.93</v>
      </c>
      <c r="X90">
        <v>1434</v>
      </c>
      <c r="Y90">
        <v>96.150000000000077</v>
      </c>
      <c r="Z90">
        <v>7.1869043614755084</v>
      </c>
      <c r="AA90">
        <v>43622.9</v>
      </c>
    </row>
    <row r="91" spans="2:27" x14ac:dyDescent="0.25">
      <c r="B91">
        <v>45200</v>
      </c>
      <c r="C91" t="s">
        <v>50</v>
      </c>
      <c r="D91">
        <v>45200</v>
      </c>
      <c r="E91" t="s">
        <v>50</v>
      </c>
      <c r="F91" t="s">
        <v>25</v>
      </c>
      <c r="G91">
        <v>38523</v>
      </c>
      <c r="H91">
        <v>19375</v>
      </c>
      <c r="I91">
        <v>101.18550240233968</v>
      </c>
      <c r="J91">
        <v>286289</v>
      </c>
      <c r="K91">
        <v>13.44</v>
      </c>
      <c r="L91">
        <v>7.5</v>
      </c>
      <c r="M91">
        <v>-3.25</v>
      </c>
      <c r="N91">
        <v>-30.232558139534881</v>
      </c>
      <c r="O91">
        <v>43622.9</v>
      </c>
      <c r="P91">
        <v>45200</v>
      </c>
      <c r="Q91" t="s">
        <v>50</v>
      </c>
      <c r="R91" t="s">
        <v>25</v>
      </c>
      <c r="S91">
        <v>115</v>
      </c>
      <c r="T91">
        <v>20</v>
      </c>
      <c r="U91">
        <v>21.05263157894737</v>
      </c>
      <c r="V91">
        <v>120</v>
      </c>
      <c r="W91">
        <v>17.3</v>
      </c>
      <c r="X91">
        <v>1530</v>
      </c>
      <c r="Y91">
        <v>60</v>
      </c>
      <c r="Z91">
        <v>4.0816326530612246</v>
      </c>
      <c r="AA91">
        <v>43622.9</v>
      </c>
    </row>
    <row r="92" spans="2:27" x14ac:dyDescent="0.25">
      <c r="B92">
        <v>45300</v>
      </c>
      <c r="C92" t="s">
        <v>50</v>
      </c>
      <c r="D92">
        <v>45300</v>
      </c>
      <c r="E92" t="s">
        <v>50</v>
      </c>
      <c r="F92" t="s">
        <v>25</v>
      </c>
      <c r="G92">
        <v>15283</v>
      </c>
      <c r="H92">
        <v>2483</v>
      </c>
      <c r="I92">
        <v>19.3984375</v>
      </c>
      <c r="J92">
        <v>207426</v>
      </c>
      <c r="K92">
        <v>13.89</v>
      </c>
      <c r="L92">
        <v>6.25</v>
      </c>
      <c r="M92">
        <v>-3.4499999999999993</v>
      </c>
      <c r="N92">
        <v>-35.567010309278345</v>
      </c>
      <c r="O92">
        <v>43622.9</v>
      </c>
      <c r="P92">
        <v>45300</v>
      </c>
      <c r="Q92" t="s">
        <v>50</v>
      </c>
      <c r="R92" t="s">
        <v>25</v>
      </c>
      <c r="S92">
        <v>121</v>
      </c>
      <c r="T92">
        <v>-23</v>
      </c>
      <c r="U92">
        <v>-15.97222222222222</v>
      </c>
      <c r="V92">
        <v>49</v>
      </c>
      <c r="W92">
        <v>0</v>
      </c>
      <c r="X92">
        <v>1591.65</v>
      </c>
      <c r="Y92">
        <v>91.650000000000077</v>
      </c>
      <c r="Z92">
        <v>6.1100000000000065</v>
      </c>
      <c r="AA92">
        <v>43622.9</v>
      </c>
    </row>
    <row r="93" spans="2:27" x14ac:dyDescent="0.25">
      <c r="B93">
        <v>45400</v>
      </c>
      <c r="C93" t="s">
        <v>50</v>
      </c>
      <c r="D93">
        <v>45400</v>
      </c>
      <c r="E93" t="s">
        <v>50</v>
      </c>
      <c r="F93" t="s">
        <v>25</v>
      </c>
      <c r="G93">
        <v>10287</v>
      </c>
      <c r="H93">
        <v>254</v>
      </c>
      <c r="I93">
        <v>2.5316455696202533</v>
      </c>
      <c r="J93">
        <v>195127</v>
      </c>
      <c r="K93">
        <v>14.53</v>
      </c>
      <c r="L93">
        <v>6.9</v>
      </c>
      <c r="M93">
        <v>-2</v>
      </c>
      <c r="N93">
        <v>-22.471910112359549</v>
      </c>
      <c r="O93">
        <v>43622.9</v>
      </c>
      <c r="P93">
        <v>45400</v>
      </c>
      <c r="Q93" t="s">
        <v>50</v>
      </c>
      <c r="R93" t="s">
        <v>25</v>
      </c>
      <c r="S93">
        <v>64</v>
      </c>
      <c r="T93">
        <v>-8</v>
      </c>
      <c r="U93">
        <v>-11.111111111111111</v>
      </c>
      <c r="V93">
        <v>18</v>
      </c>
      <c r="W93">
        <v>19.28</v>
      </c>
      <c r="X93">
        <v>1731.35</v>
      </c>
      <c r="Y93">
        <v>106.34999999999992</v>
      </c>
      <c r="Z93">
        <v>6.544615384615379</v>
      </c>
      <c r="AA93">
        <v>43622.9</v>
      </c>
    </row>
    <row r="94" spans="2:27" x14ac:dyDescent="0.25">
      <c r="B94">
        <v>45500</v>
      </c>
      <c r="C94" t="s">
        <v>50</v>
      </c>
      <c r="D94">
        <v>45500</v>
      </c>
      <c r="E94" t="s">
        <v>50</v>
      </c>
      <c r="F94" t="s">
        <v>25</v>
      </c>
      <c r="G94">
        <v>128102</v>
      </c>
      <c r="H94">
        <v>75086</v>
      </c>
      <c r="I94">
        <v>141.62894220612645</v>
      </c>
      <c r="J94">
        <v>646712</v>
      </c>
      <c r="K94">
        <v>15.36</v>
      </c>
      <c r="L94">
        <v>6.55</v>
      </c>
      <c r="M94">
        <v>-1.7000000000000002</v>
      </c>
      <c r="N94">
        <v>-20.606060606060609</v>
      </c>
      <c r="O94">
        <v>43622.9</v>
      </c>
      <c r="P94">
        <v>45500</v>
      </c>
      <c r="Q94" t="s">
        <v>50</v>
      </c>
      <c r="R94" t="s">
        <v>25</v>
      </c>
      <c r="S94">
        <v>1577</v>
      </c>
      <c r="T94">
        <v>-16</v>
      </c>
      <c r="U94">
        <v>-1.0043942247332078</v>
      </c>
      <c r="V94">
        <v>259</v>
      </c>
      <c r="W94">
        <v>19.899999999999999</v>
      </c>
      <c r="X94">
        <v>1829.6</v>
      </c>
      <c r="Y94">
        <v>97.75</v>
      </c>
      <c r="Z94">
        <v>5.644253255189537</v>
      </c>
      <c r="AA94">
        <v>43622.9</v>
      </c>
    </row>
    <row r="95" spans="2:27" x14ac:dyDescent="0.25">
      <c r="B95">
        <v>45600</v>
      </c>
      <c r="C95" t="s">
        <v>50</v>
      </c>
      <c r="D95">
        <v>45600</v>
      </c>
      <c r="E95" t="s">
        <v>50</v>
      </c>
      <c r="F95" t="s">
        <v>25</v>
      </c>
      <c r="G95">
        <v>10979</v>
      </c>
      <c r="H95">
        <v>4544</v>
      </c>
      <c r="I95">
        <v>70.613830613830615</v>
      </c>
      <c r="J95">
        <v>137574</v>
      </c>
      <c r="K95">
        <v>15.79</v>
      </c>
      <c r="L95">
        <v>5.7</v>
      </c>
      <c r="M95">
        <v>-1.8499999999999996</v>
      </c>
      <c r="N95">
        <v>-24.503311258278146</v>
      </c>
      <c r="O95">
        <v>43622.9</v>
      </c>
      <c r="P95">
        <v>45600</v>
      </c>
      <c r="Q95" t="s">
        <v>50</v>
      </c>
      <c r="R95" t="s">
        <v>25</v>
      </c>
      <c r="S95">
        <v>64</v>
      </c>
      <c r="T95">
        <v>-17</v>
      </c>
      <c r="U95">
        <v>-20.987654320987655</v>
      </c>
      <c r="V95">
        <v>74</v>
      </c>
      <c r="W95">
        <v>20.86</v>
      </c>
      <c r="X95">
        <v>1930.15</v>
      </c>
      <c r="Y95">
        <v>-146.25</v>
      </c>
      <c r="Z95">
        <v>-7.0434405702176832</v>
      </c>
      <c r="AA95">
        <v>43622.9</v>
      </c>
    </row>
    <row r="96" spans="2:27" x14ac:dyDescent="0.25">
      <c r="B96">
        <v>45700</v>
      </c>
      <c r="C96" t="s">
        <v>50</v>
      </c>
      <c r="D96">
        <v>45700</v>
      </c>
      <c r="E96" t="s">
        <v>50</v>
      </c>
      <c r="F96" t="s">
        <v>25</v>
      </c>
      <c r="G96">
        <v>6364</v>
      </c>
      <c r="H96">
        <v>1544</v>
      </c>
      <c r="I96">
        <v>32.033195020746888</v>
      </c>
      <c r="J96">
        <v>107820</v>
      </c>
      <c r="K96">
        <v>16.03</v>
      </c>
      <c r="L96">
        <v>4.7</v>
      </c>
      <c r="M96">
        <v>-2.5</v>
      </c>
      <c r="N96">
        <v>-34.722222222222221</v>
      </c>
      <c r="O96">
        <v>43622.9</v>
      </c>
      <c r="P96">
        <v>45700</v>
      </c>
      <c r="Q96" t="s">
        <v>50</v>
      </c>
      <c r="R96" t="s">
        <v>25</v>
      </c>
      <c r="S96">
        <v>86</v>
      </c>
      <c r="T96">
        <v>-4</v>
      </c>
      <c r="U96">
        <v>-4.4444444444444446</v>
      </c>
      <c r="V96">
        <v>4</v>
      </c>
      <c r="W96">
        <v>0</v>
      </c>
      <c r="X96">
        <v>1922.1</v>
      </c>
      <c r="Y96">
        <v>168.14999999999986</v>
      </c>
      <c r="Z96">
        <v>9.5869323526896366</v>
      </c>
      <c r="AA96">
        <v>43622.9</v>
      </c>
    </row>
    <row r="97" spans="2:27" x14ac:dyDescent="0.25">
      <c r="B97">
        <v>45800</v>
      </c>
      <c r="C97" t="s">
        <v>50</v>
      </c>
      <c r="D97">
        <v>45800</v>
      </c>
      <c r="E97" t="s">
        <v>50</v>
      </c>
      <c r="F97" t="s">
        <v>25</v>
      </c>
      <c r="G97">
        <v>12957</v>
      </c>
      <c r="H97">
        <v>8359</v>
      </c>
      <c r="I97">
        <v>181.79643323183993</v>
      </c>
      <c r="J97">
        <v>116477</v>
      </c>
      <c r="K97">
        <v>16.82</v>
      </c>
      <c r="L97">
        <v>4.75</v>
      </c>
      <c r="M97">
        <v>-2.2000000000000002</v>
      </c>
      <c r="N97">
        <v>-31.654676258992808</v>
      </c>
      <c r="O97">
        <v>43622.9</v>
      </c>
      <c r="P97">
        <v>45800</v>
      </c>
      <c r="Q97" t="s">
        <v>50</v>
      </c>
      <c r="R97" t="s">
        <v>25</v>
      </c>
      <c r="S97">
        <v>54</v>
      </c>
      <c r="T97">
        <v>0</v>
      </c>
      <c r="U97">
        <v>0</v>
      </c>
      <c r="V97">
        <v>0</v>
      </c>
      <c r="W97">
        <v>0</v>
      </c>
      <c r="X97">
        <v>2050</v>
      </c>
      <c r="Y97">
        <v>2.5</v>
      </c>
      <c r="Z97">
        <v>0.1221001221001221</v>
      </c>
      <c r="AA97">
        <v>43622.9</v>
      </c>
    </row>
    <row r="98" spans="2:27" x14ac:dyDescent="0.25">
      <c r="B98">
        <v>45900</v>
      </c>
      <c r="C98" t="s">
        <v>50</v>
      </c>
      <c r="D98">
        <v>45900</v>
      </c>
      <c r="E98" t="s">
        <v>50</v>
      </c>
      <c r="F98" t="s">
        <v>25</v>
      </c>
      <c r="G98">
        <v>7787</v>
      </c>
      <c r="H98">
        <v>1756</v>
      </c>
      <c r="I98">
        <v>29.116232797214391</v>
      </c>
      <c r="J98">
        <v>104385</v>
      </c>
      <c r="K98">
        <v>17.68</v>
      </c>
      <c r="L98">
        <v>5.35</v>
      </c>
      <c r="M98">
        <v>-1.3500000000000003</v>
      </c>
      <c r="N98">
        <v>-20.149253731343293</v>
      </c>
      <c r="O98">
        <v>43622.9</v>
      </c>
      <c r="P98">
        <v>45900</v>
      </c>
      <c r="Q98" t="s">
        <v>50</v>
      </c>
      <c r="R98" t="s">
        <v>25</v>
      </c>
      <c r="S98">
        <v>35</v>
      </c>
      <c r="T98">
        <v>0</v>
      </c>
      <c r="U98">
        <v>0</v>
      </c>
      <c r="V98">
        <v>0</v>
      </c>
      <c r="W98">
        <v>0</v>
      </c>
      <c r="X98">
        <v>2076.0500000000002</v>
      </c>
      <c r="Y98">
        <v>0</v>
      </c>
      <c r="Z98">
        <v>0</v>
      </c>
      <c r="AA98">
        <v>43622.9</v>
      </c>
    </row>
    <row r="99" spans="2:27" x14ac:dyDescent="0.25">
      <c r="B99">
        <v>46000</v>
      </c>
      <c r="C99" t="s">
        <v>50</v>
      </c>
      <c r="D99">
        <v>46000</v>
      </c>
      <c r="E99" t="s">
        <v>50</v>
      </c>
      <c r="F99" t="s">
        <v>25</v>
      </c>
      <c r="G99">
        <v>81165</v>
      </c>
      <c r="H99">
        <v>9896</v>
      </c>
      <c r="I99">
        <v>13.88542002834332</v>
      </c>
      <c r="J99">
        <v>432690</v>
      </c>
      <c r="K99">
        <v>18.12</v>
      </c>
      <c r="L99">
        <v>4.8499999999999996</v>
      </c>
      <c r="M99">
        <v>-1.6000000000000003</v>
      </c>
      <c r="N99">
        <v>-24.806201550387605</v>
      </c>
      <c r="O99">
        <v>43622.9</v>
      </c>
      <c r="P99">
        <v>46000</v>
      </c>
      <c r="Q99" t="s">
        <v>50</v>
      </c>
      <c r="R99" t="s">
        <v>25</v>
      </c>
      <c r="S99">
        <v>1210</v>
      </c>
      <c r="T99">
        <v>3</v>
      </c>
      <c r="U99">
        <v>0.24855012427506215</v>
      </c>
      <c r="V99">
        <v>487</v>
      </c>
      <c r="W99">
        <v>23.41</v>
      </c>
      <c r="X99">
        <v>2325.35</v>
      </c>
      <c r="Y99">
        <v>109.04999999999971</v>
      </c>
      <c r="Z99">
        <v>4.9203627667734384</v>
      </c>
      <c r="AA99">
        <v>43622.9</v>
      </c>
    </row>
    <row r="100" spans="2:27" x14ac:dyDescent="0.25">
      <c r="B100">
        <v>46100</v>
      </c>
      <c r="C100" t="s">
        <v>50</v>
      </c>
      <c r="D100">
        <v>46100</v>
      </c>
      <c r="E100" t="s">
        <v>50</v>
      </c>
      <c r="F100" t="s">
        <v>25</v>
      </c>
      <c r="G100">
        <v>2692</v>
      </c>
      <c r="H100">
        <v>513</v>
      </c>
      <c r="I100">
        <v>23.542909591555759</v>
      </c>
      <c r="J100">
        <v>65559</v>
      </c>
      <c r="K100">
        <v>18.399999999999999</v>
      </c>
      <c r="L100">
        <v>4.2</v>
      </c>
      <c r="M100">
        <v>-1.8999999999999997</v>
      </c>
      <c r="N100">
        <v>-31.147540983606554</v>
      </c>
      <c r="O100">
        <v>43622.9</v>
      </c>
      <c r="P100">
        <v>46100</v>
      </c>
      <c r="Q100" t="s">
        <v>50</v>
      </c>
      <c r="R100" t="s">
        <v>25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43622.9</v>
      </c>
    </row>
    <row r="101" spans="2:27" x14ac:dyDescent="0.25">
      <c r="B101">
        <v>46200</v>
      </c>
      <c r="C101" t="s">
        <v>50</v>
      </c>
      <c r="D101">
        <v>46200</v>
      </c>
      <c r="E101" t="s">
        <v>50</v>
      </c>
      <c r="F101" t="s">
        <v>25</v>
      </c>
      <c r="G101">
        <v>2283</v>
      </c>
      <c r="H101">
        <v>807</v>
      </c>
      <c r="I101">
        <v>54.674796747967477</v>
      </c>
      <c r="J101">
        <v>64689</v>
      </c>
      <c r="K101">
        <v>19.239999999999998</v>
      </c>
      <c r="L101">
        <v>4.3</v>
      </c>
      <c r="M101">
        <v>-1.6500000000000004</v>
      </c>
      <c r="N101">
        <v>-27.731092436974802</v>
      </c>
      <c r="O101">
        <v>43622.9</v>
      </c>
      <c r="P101">
        <v>46200</v>
      </c>
      <c r="Q101" t="s">
        <v>50</v>
      </c>
      <c r="R101" t="s">
        <v>25</v>
      </c>
      <c r="S101">
        <v>180</v>
      </c>
      <c r="T101">
        <v>0</v>
      </c>
      <c r="U101">
        <v>0</v>
      </c>
      <c r="V101">
        <v>0</v>
      </c>
      <c r="W101">
        <v>0</v>
      </c>
      <c r="X101">
        <v>2282.25</v>
      </c>
      <c r="Y101">
        <v>0</v>
      </c>
      <c r="Z101">
        <v>0</v>
      </c>
      <c r="AA101">
        <v>43622.9</v>
      </c>
    </row>
    <row r="102" spans="2:27" x14ac:dyDescent="0.25">
      <c r="B102">
        <v>46300</v>
      </c>
      <c r="C102" t="s">
        <v>50</v>
      </c>
      <c r="D102">
        <v>46300</v>
      </c>
      <c r="E102" t="s">
        <v>50</v>
      </c>
      <c r="F102" t="s">
        <v>25</v>
      </c>
      <c r="G102">
        <v>2657</v>
      </c>
      <c r="H102">
        <v>-1138</v>
      </c>
      <c r="I102">
        <v>-29.986824769433465</v>
      </c>
      <c r="J102">
        <v>53875</v>
      </c>
      <c r="K102">
        <v>19.649999999999999</v>
      </c>
      <c r="L102">
        <v>4.1500000000000004</v>
      </c>
      <c r="M102">
        <v>-1.5499999999999998</v>
      </c>
      <c r="N102">
        <v>-27.192982456140346</v>
      </c>
      <c r="O102">
        <v>43622.9</v>
      </c>
      <c r="P102">
        <v>46300</v>
      </c>
      <c r="Q102" t="s">
        <v>50</v>
      </c>
      <c r="R102" t="s">
        <v>25</v>
      </c>
      <c r="S102">
        <v>10</v>
      </c>
      <c r="T102">
        <v>0</v>
      </c>
      <c r="U102">
        <v>0</v>
      </c>
      <c r="V102">
        <v>2</v>
      </c>
      <c r="W102">
        <v>24.72</v>
      </c>
      <c r="X102">
        <v>2620</v>
      </c>
      <c r="Y102">
        <v>149.09999999999991</v>
      </c>
      <c r="Z102">
        <v>6.0342385365656197</v>
      </c>
      <c r="AA102">
        <v>43622.9</v>
      </c>
    </row>
    <row r="103" spans="2:27" x14ac:dyDescent="0.25">
      <c r="B103">
        <v>46400</v>
      </c>
      <c r="C103" t="s">
        <v>50</v>
      </c>
      <c r="D103">
        <v>46400</v>
      </c>
      <c r="E103" t="s">
        <v>50</v>
      </c>
      <c r="F103" t="s">
        <v>25</v>
      </c>
      <c r="G103">
        <v>1071</v>
      </c>
      <c r="H103">
        <v>-79</v>
      </c>
      <c r="I103">
        <v>-6.8695652173913047</v>
      </c>
      <c r="J103">
        <v>47835</v>
      </c>
      <c r="K103">
        <v>20.399999999999999</v>
      </c>
      <c r="L103">
        <v>4.0999999999999996</v>
      </c>
      <c r="M103">
        <v>-1.5</v>
      </c>
      <c r="N103">
        <v>-26.785714285714285</v>
      </c>
      <c r="O103">
        <v>43622.9</v>
      </c>
      <c r="P103">
        <v>46400</v>
      </c>
      <c r="Q103" t="s">
        <v>50</v>
      </c>
      <c r="R103" t="s">
        <v>25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43622.9</v>
      </c>
    </row>
    <row r="104" spans="2:27" x14ac:dyDescent="0.25">
      <c r="B104">
        <v>46500</v>
      </c>
      <c r="C104" t="s">
        <v>50</v>
      </c>
      <c r="D104">
        <v>46500</v>
      </c>
      <c r="E104" t="s">
        <v>50</v>
      </c>
      <c r="F104" t="s">
        <v>25</v>
      </c>
      <c r="G104">
        <v>65809</v>
      </c>
      <c r="H104">
        <v>22281</v>
      </c>
      <c r="I104">
        <v>51.187741224039698</v>
      </c>
      <c r="J104">
        <v>252360</v>
      </c>
      <c r="K104">
        <v>21.16</v>
      </c>
      <c r="L104">
        <v>4.5</v>
      </c>
      <c r="M104">
        <v>-1.0999999999999996</v>
      </c>
      <c r="N104">
        <v>-19.642857142857135</v>
      </c>
      <c r="O104">
        <v>43622.9</v>
      </c>
      <c r="P104">
        <v>46500</v>
      </c>
      <c r="Q104" t="s">
        <v>50</v>
      </c>
      <c r="R104" t="s">
        <v>25</v>
      </c>
      <c r="S104">
        <v>391</v>
      </c>
      <c r="T104">
        <v>-2</v>
      </c>
      <c r="U104">
        <v>-0.5089058524173028</v>
      </c>
      <c r="V104">
        <v>75</v>
      </c>
      <c r="W104">
        <v>30.6</v>
      </c>
      <c r="X104">
        <v>2843.15</v>
      </c>
      <c r="Y104">
        <v>133.15000000000009</v>
      </c>
      <c r="Z104">
        <v>4.9132841328413317</v>
      </c>
      <c r="AA104">
        <v>43622.9</v>
      </c>
    </row>
    <row r="105" spans="2:27" x14ac:dyDescent="0.25">
      <c r="B105">
        <v>46600</v>
      </c>
      <c r="C105" t="s">
        <v>50</v>
      </c>
      <c r="D105">
        <v>46600</v>
      </c>
      <c r="E105" t="s">
        <v>50</v>
      </c>
      <c r="F105" t="s">
        <v>25</v>
      </c>
      <c r="G105">
        <v>997</v>
      </c>
      <c r="H105">
        <v>563</v>
      </c>
      <c r="I105">
        <v>129.72350230414747</v>
      </c>
      <c r="J105">
        <v>27797</v>
      </c>
      <c r="K105">
        <v>21.43</v>
      </c>
      <c r="L105">
        <v>4</v>
      </c>
      <c r="M105">
        <v>-1.25</v>
      </c>
      <c r="N105">
        <v>-23.809523809523807</v>
      </c>
      <c r="O105">
        <v>43622.9</v>
      </c>
      <c r="P105">
        <v>46600</v>
      </c>
      <c r="Q105" t="s">
        <v>50</v>
      </c>
      <c r="R105" t="s">
        <v>25</v>
      </c>
      <c r="S105">
        <v>10</v>
      </c>
      <c r="T105">
        <v>0</v>
      </c>
      <c r="U105">
        <v>0</v>
      </c>
      <c r="V105">
        <v>0</v>
      </c>
      <c r="W105">
        <v>0</v>
      </c>
      <c r="X105">
        <v>3000</v>
      </c>
      <c r="Y105">
        <v>0</v>
      </c>
      <c r="Z105">
        <v>0</v>
      </c>
      <c r="AA105">
        <v>43622.9</v>
      </c>
    </row>
    <row r="106" spans="2:27" x14ac:dyDescent="0.25">
      <c r="B106">
        <v>46700</v>
      </c>
      <c r="C106" t="s">
        <v>50</v>
      </c>
      <c r="D106">
        <v>46700</v>
      </c>
      <c r="E106" t="s">
        <v>50</v>
      </c>
      <c r="F106" t="s">
        <v>25</v>
      </c>
      <c r="G106">
        <v>1183</v>
      </c>
      <c r="H106">
        <v>557</v>
      </c>
      <c r="I106">
        <v>88.977635782747598</v>
      </c>
      <c r="J106">
        <v>25949</v>
      </c>
      <c r="K106">
        <v>22.35</v>
      </c>
      <c r="L106">
        <v>4.45</v>
      </c>
      <c r="M106">
        <v>-0.75</v>
      </c>
      <c r="N106">
        <v>-14.423076923076922</v>
      </c>
      <c r="O106">
        <v>43622.9</v>
      </c>
      <c r="P106">
        <v>46700</v>
      </c>
      <c r="Q106" t="s">
        <v>50</v>
      </c>
      <c r="R106" t="s">
        <v>25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43622.9</v>
      </c>
    </row>
    <row r="107" spans="2:27" x14ac:dyDescent="0.25">
      <c r="B107">
        <v>46800</v>
      </c>
      <c r="C107" t="s">
        <v>50</v>
      </c>
      <c r="D107">
        <v>46800</v>
      </c>
      <c r="E107" t="s">
        <v>50</v>
      </c>
      <c r="F107" t="s">
        <v>25</v>
      </c>
      <c r="G107">
        <v>2413</v>
      </c>
      <c r="H107">
        <v>1642</v>
      </c>
      <c r="I107">
        <v>212.97016861219197</v>
      </c>
      <c r="J107">
        <v>32886</v>
      </c>
      <c r="K107">
        <v>23.01</v>
      </c>
      <c r="L107">
        <v>4.5</v>
      </c>
      <c r="M107">
        <v>-0.5</v>
      </c>
      <c r="N107">
        <v>-10</v>
      </c>
      <c r="O107">
        <v>43622.9</v>
      </c>
      <c r="P107">
        <v>46800</v>
      </c>
      <c r="Q107" t="s">
        <v>50</v>
      </c>
      <c r="R107" t="s">
        <v>25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43622.9</v>
      </c>
    </row>
    <row r="108" spans="2:27" x14ac:dyDescent="0.25">
      <c r="B108">
        <v>46900</v>
      </c>
      <c r="C108" t="s">
        <v>50</v>
      </c>
      <c r="D108">
        <v>46900</v>
      </c>
      <c r="E108" t="s">
        <v>50</v>
      </c>
      <c r="F108" t="s">
        <v>25</v>
      </c>
      <c r="G108">
        <v>2874</v>
      </c>
      <c r="H108">
        <v>2371</v>
      </c>
      <c r="I108">
        <v>471.37176938369782</v>
      </c>
      <c r="J108">
        <v>40745</v>
      </c>
      <c r="K108">
        <v>23.46</v>
      </c>
      <c r="L108">
        <v>4.0999999999999996</v>
      </c>
      <c r="M108">
        <v>-0.70000000000000018</v>
      </c>
      <c r="N108">
        <v>-14.583333333333336</v>
      </c>
      <c r="O108">
        <v>43622.9</v>
      </c>
      <c r="P108">
        <v>46900</v>
      </c>
      <c r="Q108" t="s">
        <v>50</v>
      </c>
      <c r="R108" t="s">
        <v>25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43622.9</v>
      </c>
    </row>
    <row r="109" spans="2:27" x14ac:dyDescent="0.25">
      <c r="B109">
        <v>47000</v>
      </c>
      <c r="C109" t="s">
        <v>50</v>
      </c>
      <c r="D109">
        <v>47000</v>
      </c>
      <c r="E109" t="s">
        <v>50</v>
      </c>
      <c r="F109" t="s">
        <v>25</v>
      </c>
      <c r="G109">
        <v>36723</v>
      </c>
      <c r="H109">
        <v>6917</v>
      </c>
      <c r="I109">
        <v>23.20673689861102</v>
      </c>
      <c r="J109">
        <v>214816</v>
      </c>
      <c r="K109">
        <v>23.67</v>
      </c>
      <c r="L109">
        <v>3.7</v>
      </c>
      <c r="M109">
        <v>-0.79999999999999982</v>
      </c>
      <c r="N109">
        <v>-17.777777777777771</v>
      </c>
      <c r="O109">
        <v>43622.9</v>
      </c>
      <c r="P109">
        <v>47000</v>
      </c>
      <c r="Q109" t="s">
        <v>50</v>
      </c>
      <c r="R109" t="s">
        <v>25</v>
      </c>
      <c r="S109">
        <v>756</v>
      </c>
      <c r="T109">
        <v>-153</v>
      </c>
      <c r="U109">
        <v>-16.831683168316832</v>
      </c>
      <c r="V109">
        <v>282</v>
      </c>
      <c r="W109">
        <v>32.71</v>
      </c>
      <c r="X109">
        <v>3331.45</v>
      </c>
      <c r="Y109">
        <v>105.84999999999992</v>
      </c>
      <c r="Z109">
        <v>3.2815600198412667</v>
      </c>
      <c r="AA109">
        <v>43622.9</v>
      </c>
    </row>
    <row r="110" spans="2:27" x14ac:dyDescent="0.25">
      <c r="B110">
        <v>47500</v>
      </c>
      <c r="C110" t="s">
        <v>50</v>
      </c>
      <c r="D110">
        <v>47500</v>
      </c>
      <c r="E110" t="s">
        <v>50</v>
      </c>
      <c r="F110" t="s">
        <v>25</v>
      </c>
      <c r="G110">
        <v>13651</v>
      </c>
      <c r="H110">
        <v>725</v>
      </c>
      <c r="I110">
        <v>5.6088503790809225</v>
      </c>
      <c r="J110">
        <v>59902</v>
      </c>
      <c r="K110">
        <v>26.06</v>
      </c>
      <c r="L110">
        <v>3.05</v>
      </c>
      <c r="M110">
        <v>-1.0499999999999998</v>
      </c>
      <c r="N110">
        <v>-25.609756097560975</v>
      </c>
      <c r="O110">
        <v>43622.9</v>
      </c>
      <c r="P110">
        <v>47500</v>
      </c>
      <c r="Q110" t="s">
        <v>50</v>
      </c>
      <c r="R110" t="s">
        <v>25</v>
      </c>
      <c r="S110">
        <v>237</v>
      </c>
      <c r="T110">
        <v>1</v>
      </c>
      <c r="U110">
        <v>0.42372881355932202</v>
      </c>
      <c r="V110">
        <v>15</v>
      </c>
      <c r="W110">
        <v>41.6</v>
      </c>
      <c r="X110">
        <v>3860.2</v>
      </c>
      <c r="Y110">
        <v>328.5</v>
      </c>
      <c r="Z110">
        <v>9.3014695472435385</v>
      </c>
      <c r="AA110">
        <v>43622.9</v>
      </c>
    </row>
    <row r="111" spans="2:27" x14ac:dyDescent="0.25">
      <c r="B111">
        <v>48000</v>
      </c>
      <c r="C111" t="s">
        <v>50</v>
      </c>
      <c r="D111">
        <v>48000</v>
      </c>
      <c r="E111" t="s">
        <v>50</v>
      </c>
      <c r="F111" t="s">
        <v>25</v>
      </c>
      <c r="G111">
        <v>19196</v>
      </c>
      <c r="H111">
        <v>5034</v>
      </c>
      <c r="I111">
        <v>35.545826860612905</v>
      </c>
      <c r="J111">
        <v>88143</v>
      </c>
      <c r="K111">
        <v>28.97</v>
      </c>
      <c r="L111">
        <v>3.1</v>
      </c>
      <c r="M111">
        <v>-0.54999999999999982</v>
      </c>
      <c r="N111">
        <v>-15.068493150684928</v>
      </c>
      <c r="O111">
        <v>43622.9</v>
      </c>
      <c r="P111">
        <v>48000</v>
      </c>
      <c r="Q111" t="s">
        <v>50</v>
      </c>
      <c r="R111" t="s">
        <v>25</v>
      </c>
      <c r="S111">
        <v>788</v>
      </c>
      <c r="T111">
        <v>-46</v>
      </c>
      <c r="U111">
        <v>-5.5155875299760195</v>
      </c>
      <c r="V111">
        <v>68</v>
      </c>
      <c r="W111">
        <v>36.94</v>
      </c>
      <c r="X111">
        <v>4317.45</v>
      </c>
      <c r="Y111">
        <v>102.64999999999964</v>
      </c>
      <c r="Z111">
        <v>2.4354655025149388</v>
      </c>
      <c r="AA111">
        <v>43622.9</v>
      </c>
    </row>
    <row r="112" spans="2:27" x14ac:dyDescent="0.25">
      <c r="B112">
        <v>48500</v>
      </c>
      <c r="C112" t="s">
        <v>50</v>
      </c>
      <c r="D112">
        <v>48500</v>
      </c>
      <c r="E112" t="s">
        <v>50</v>
      </c>
      <c r="F112" t="s">
        <v>25</v>
      </c>
      <c r="G112">
        <v>2480</v>
      </c>
      <c r="H112">
        <v>1369</v>
      </c>
      <c r="I112">
        <v>123.22232223222322</v>
      </c>
      <c r="J112">
        <v>16774</v>
      </c>
      <c r="K112">
        <v>31.54</v>
      </c>
      <c r="L112">
        <v>3</v>
      </c>
      <c r="M112">
        <v>-0.5</v>
      </c>
      <c r="N112">
        <v>-14.285714285714285</v>
      </c>
      <c r="O112">
        <v>43622.9</v>
      </c>
      <c r="P112">
        <v>48500</v>
      </c>
      <c r="Q112" t="s">
        <v>50</v>
      </c>
      <c r="R112" t="s">
        <v>25</v>
      </c>
      <c r="S112">
        <v>33</v>
      </c>
      <c r="T112">
        <v>6</v>
      </c>
      <c r="U112">
        <v>22.222222222222221</v>
      </c>
      <c r="V112">
        <v>6</v>
      </c>
      <c r="W112">
        <v>34.29</v>
      </c>
      <c r="X112">
        <v>4803.3999999999996</v>
      </c>
      <c r="Y112">
        <v>240.64999999999964</v>
      </c>
      <c r="Z112">
        <v>5.2742315489562142</v>
      </c>
      <c r="AA112">
        <v>43622.9</v>
      </c>
    </row>
    <row r="113" spans="2:27" x14ac:dyDescent="0.25">
      <c r="B113">
        <v>49000</v>
      </c>
      <c r="C113" t="s">
        <v>50</v>
      </c>
      <c r="D113">
        <v>49000</v>
      </c>
      <c r="E113" t="s">
        <v>50</v>
      </c>
      <c r="F113" t="s">
        <v>25</v>
      </c>
      <c r="G113">
        <v>6754</v>
      </c>
      <c r="H113">
        <v>3250</v>
      </c>
      <c r="I113">
        <v>92.751141552511399</v>
      </c>
      <c r="J113">
        <v>21218</v>
      </c>
      <c r="K113">
        <v>34.15</v>
      </c>
      <c r="L113">
        <v>2.9</v>
      </c>
      <c r="M113">
        <v>-0.39999999999999991</v>
      </c>
      <c r="N113">
        <v>-12.121212121212119</v>
      </c>
      <c r="O113">
        <v>43622.9</v>
      </c>
      <c r="P113">
        <v>49000</v>
      </c>
      <c r="Q113" t="s">
        <v>50</v>
      </c>
      <c r="R113" t="s">
        <v>25</v>
      </c>
      <c r="S113">
        <v>116</v>
      </c>
      <c r="T113">
        <v>1</v>
      </c>
      <c r="U113">
        <v>0.86956521739130432</v>
      </c>
      <c r="V113">
        <v>6</v>
      </c>
      <c r="W113">
        <v>0</v>
      </c>
      <c r="X113">
        <v>5249.4</v>
      </c>
      <c r="Y113">
        <v>208.29999999999927</v>
      </c>
      <c r="Z113">
        <v>4.1320346749717176</v>
      </c>
      <c r="AA113">
        <v>43622.9</v>
      </c>
    </row>
    <row r="114" spans="2:27" x14ac:dyDescent="0.25">
      <c r="B114">
        <v>49500</v>
      </c>
      <c r="C114" t="s">
        <v>50</v>
      </c>
      <c r="D114">
        <v>49500</v>
      </c>
      <c r="E114" t="s">
        <v>50</v>
      </c>
      <c r="F114" t="s">
        <v>25</v>
      </c>
      <c r="G114">
        <v>4509</v>
      </c>
      <c r="H114">
        <v>2503</v>
      </c>
      <c r="I114">
        <v>124.77567298105684</v>
      </c>
      <c r="J114">
        <v>29856</v>
      </c>
      <c r="K114">
        <v>36.159999999999997</v>
      </c>
      <c r="L114">
        <v>2.35</v>
      </c>
      <c r="M114">
        <v>-0.60000000000000009</v>
      </c>
      <c r="N114">
        <v>-20.33898305084746</v>
      </c>
      <c r="O114">
        <v>43622.9</v>
      </c>
      <c r="P114">
        <v>49500</v>
      </c>
      <c r="Q114" t="s">
        <v>50</v>
      </c>
      <c r="R114" t="s">
        <v>25</v>
      </c>
      <c r="S114">
        <v>50</v>
      </c>
      <c r="T114">
        <v>-1</v>
      </c>
      <c r="U114">
        <v>-1.9607843137254899</v>
      </c>
      <c r="V114">
        <v>1</v>
      </c>
      <c r="W114">
        <v>56.35</v>
      </c>
      <c r="X114">
        <v>5853.25</v>
      </c>
      <c r="Y114">
        <v>261</v>
      </c>
      <c r="Z114">
        <v>4.6671733202199475</v>
      </c>
      <c r="AA114">
        <v>43622.9</v>
      </c>
    </row>
    <row r="115" spans="2:27" x14ac:dyDescent="0.25">
      <c r="B115">
        <v>50000</v>
      </c>
      <c r="C115" t="s">
        <v>50</v>
      </c>
      <c r="D115">
        <v>50000</v>
      </c>
      <c r="E115" t="s">
        <v>50</v>
      </c>
      <c r="F115" t="s">
        <v>25</v>
      </c>
      <c r="G115">
        <v>9804</v>
      </c>
      <c r="H115">
        <v>1671</v>
      </c>
      <c r="I115">
        <v>20.545924013279233</v>
      </c>
      <c r="J115">
        <v>28933</v>
      </c>
      <c r="K115">
        <v>38.909999999999997</v>
      </c>
      <c r="L115">
        <v>2.4500000000000002</v>
      </c>
      <c r="M115">
        <v>-0.5</v>
      </c>
      <c r="N115">
        <v>-16.949152542372879</v>
      </c>
      <c r="O115">
        <v>43622.9</v>
      </c>
      <c r="P115">
        <v>50000</v>
      </c>
      <c r="Q115" t="s">
        <v>50</v>
      </c>
      <c r="R115" t="s">
        <v>25</v>
      </c>
      <c r="S115">
        <v>202</v>
      </c>
      <c r="T115">
        <v>-4</v>
      </c>
      <c r="U115">
        <v>-1.941747572815534</v>
      </c>
      <c r="V115">
        <v>14</v>
      </c>
      <c r="W115">
        <v>0</v>
      </c>
      <c r="X115">
        <v>6290</v>
      </c>
      <c r="Y115">
        <v>88</v>
      </c>
      <c r="Z115">
        <v>1.4188971299580779</v>
      </c>
      <c r="AA115">
        <v>43622.9</v>
      </c>
    </row>
    <row r="116" spans="2:27" x14ac:dyDescent="0.25">
      <c r="B116">
        <v>50500</v>
      </c>
      <c r="C116" t="s">
        <v>50</v>
      </c>
      <c r="D116">
        <v>50500</v>
      </c>
      <c r="E116" t="s">
        <v>50</v>
      </c>
      <c r="F116" t="s">
        <v>25</v>
      </c>
      <c r="G116">
        <v>4159</v>
      </c>
      <c r="H116">
        <v>2214</v>
      </c>
      <c r="I116">
        <v>113.83033419023135</v>
      </c>
      <c r="J116">
        <v>17588</v>
      </c>
      <c r="K116">
        <v>40.93</v>
      </c>
      <c r="L116">
        <v>2.25</v>
      </c>
      <c r="M116">
        <v>-0.64999999999999991</v>
      </c>
      <c r="N116">
        <v>-22.41379310344827</v>
      </c>
      <c r="O116">
        <v>43622.9</v>
      </c>
      <c r="P116">
        <v>50500</v>
      </c>
      <c r="Q116" t="s">
        <v>50</v>
      </c>
      <c r="R116" t="s">
        <v>25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43622.9</v>
      </c>
    </row>
    <row r="117" spans="2:27" x14ac:dyDescent="0.25">
      <c r="B117">
        <v>51000</v>
      </c>
      <c r="C117" t="s">
        <v>50</v>
      </c>
      <c r="D117">
        <v>51000</v>
      </c>
      <c r="E117" t="s">
        <v>50</v>
      </c>
      <c r="F117" t="s">
        <v>25</v>
      </c>
      <c r="G117">
        <v>23368</v>
      </c>
      <c r="H117">
        <v>16357</v>
      </c>
      <c r="I117">
        <v>233.30480673227785</v>
      </c>
      <c r="J117">
        <v>59580</v>
      </c>
      <c r="K117">
        <v>43.21</v>
      </c>
      <c r="L117">
        <v>2.0499999999999998</v>
      </c>
      <c r="M117">
        <v>-0.65000000000000036</v>
      </c>
      <c r="N117">
        <v>-24.074074074074087</v>
      </c>
      <c r="O117">
        <v>43622.9</v>
      </c>
      <c r="P117">
        <v>51000</v>
      </c>
      <c r="Q117" t="s">
        <v>50</v>
      </c>
      <c r="R117" t="s">
        <v>25</v>
      </c>
      <c r="S117">
        <v>41</v>
      </c>
      <c r="T117">
        <v>0</v>
      </c>
      <c r="U117">
        <v>0</v>
      </c>
      <c r="V117">
        <v>0</v>
      </c>
      <c r="W117">
        <v>0</v>
      </c>
      <c r="X117">
        <v>7365.8</v>
      </c>
      <c r="Y117">
        <v>0</v>
      </c>
      <c r="Z117">
        <v>0</v>
      </c>
      <c r="AA117">
        <v>43622.9</v>
      </c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G64"/>
  <sheetViews>
    <sheetView tabSelected="1" topLeftCell="B1" zoomScale="80" zoomScaleNormal="80" zoomScaleSheetLayoutView="80" workbookViewId="0">
      <selection activeCell="AG5" sqref="AG5:AG15"/>
    </sheetView>
  </sheetViews>
  <sheetFormatPr defaultRowHeight="15" x14ac:dyDescent="0.25"/>
  <cols>
    <col min="1" max="1" width="1.42578125" customWidth="1"/>
    <col min="2" max="2" width="7.7109375" customWidth="1"/>
    <col min="3" max="3" width="8.28515625" customWidth="1"/>
    <col min="4" max="4" width="8.85546875" bestFit="1" customWidth="1"/>
    <col min="5" max="5" width="10" customWidth="1"/>
    <col min="6" max="6" width="8.28515625" customWidth="1"/>
    <col min="7" max="7" width="7.28515625" customWidth="1"/>
    <col min="8" max="8" width="7.85546875" customWidth="1"/>
    <col min="9" max="9" width="9.5703125" customWidth="1"/>
    <col min="10" max="10" width="6.7109375" bestFit="1" customWidth="1"/>
    <col min="11" max="11" width="6.7109375" customWidth="1"/>
    <col min="13" max="13" width="7.7109375" bestFit="1" customWidth="1"/>
    <col min="14" max="14" width="9.5703125" customWidth="1"/>
    <col min="15" max="15" width="8.7109375" customWidth="1"/>
    <col min="16" max="16" width="8.85546875" customWidth="1"/>
    <col min="17" max="18" width="2.42578125" customWidth="1"/>
    <col min="19" max="19" width="8.42578125" customWidth="1"/>
    <col min="21" max="21" width="12" customWidth="1"/>
    <col min="22" max="22" width="9.7109375" customWidth="1"/>
    <col min="23" max="23" width="10.42578125" customWidth="1"/>
    <col min="24" max="24" width="6.28515625" customWidth="1"/>
    <col min="25" max="25" width="8.28515625" customWidth="1"/>
    <col min="26" max="26" width="9.42578125" customWidth="1"/>
    <col min="27" max="27" width="7.7109375" customWidth="1"/>
    <col min="28" max="28" width="6.28515625" customWidth="1"/>
    <col min="30" max="30" width="9.7109375" customWidth="1"/>
    <col min="31" max="31" width="10.28515625" customWidth="1"/>
    <col min="32" max="32" width="9.42578125" customWidth="1"/>
  </cols>
  <sheetData>
    <row r="1" spans="2:33" ht="15.75" thickBot="1" x14ac:dyDescent="0.3"/>
    <row r="2" spans="2:33" ht="19.5" thickBot="1" x14ac:dyDescent="0.35">
      <c r="C2" s="74" t="s">
        <v>31</v>
      </c>
      <c r="D2" s="75"/>
      <c r="H2" s="3" t="s">
        <v>32</v>
      </c>
      <c r="I2" s="7">
        <f>'BankNifty Near Expiry'!O4</f>
        <v>43622.9</v>
      </c>
      <c r="L2" t="s">
        <v>45</v>
      </c>
      <c r="M2" s="17" t="s">
        <v>42</v>
      </c>
      <c r="N2" s="15" t="str">
        <f>'BankNifty Near Expiry'!C4</f>
        <v>29-Jun-2023</v>
      </c>
      <c r="T2" s="74" t="s">
        <v>33</v>
      </c>
      <c r="U2" s="75"/>
      <c r="Y2" s="3" t="s">
        <v>32</v>
      </c>
      <c r="Z2" s="8">
        <f>MAX(NIFTY_Near_Expiry[Call.underlyingValue])</f>
        <v>18665.5</v>
      </c>
      <c r="AC2" t="s">
        <v>45</v>
      </c>
      <c r="AD2" s="17" t="s">
        <v>42</v>
      </c>
      <c r="AE2" s="15" t="str">
        <f>'Nifty Near Expiry'!C4</f>
        <v>29-Jun-2023</v>
      </c>
    </row>
    <row r="3" spans="2:33" ht="15.75" thickBot="1" x14ac:dyDescent="0.3">
      <c r="C3" s="77" t="s">
        <v>34</v>
      </c>
      <c r="D3" s="78"/>
      <c r="E3" s="62"/>
      <c r="F3" s="78"/>
      <c r="G3" s="78"/>
      <c r="H3" s="78"/>
      <c r="I3" s="9"/>
      <c r="J3" s="76" t="s">
        <v>35</v>
      </c>
      <c r="K3" s="76"/>
      <c r="L3" s="76"/>
      <c r="M3" s="63"/>
      <c r="N3" s="63"/>
      <c r="O3" s="63"/>
      <c r="T3" s="79" t="s">
        <v>34</v>
      </c>
      <c r="U3" s="79"/>
      <c r="V3" s="63"/>
      <c r="W3" s="79"/>
      <c r="X3" s="79"/>
      <c r="Y3" s="79"/>
      <c r="Z3" s="2"/>
      <c r="AA3" s="63" t="s">
        <v>35</v>
      </c>
      <c r="AB3" s="63"/>
      <c r="AC3" s="63"/>
      <c r="AD3" s="63"/>
      <c r="AE3" s="63"/>
      <c r="AF3" s="63"/>
    </row>
    <row r="4" spans="2:33" ht="15.75" thickBot="1" x14ac:dyDescent="0.3">
      <c r="B4" s="6" t="s">
        <v>38</v>
      </c>
      <c r="C4" s="25" t="s">
        <v>27</v>
      </c>
      <c r="D4" s="6" t="s">
        <v>26</v>
      </c>
      <c r="E4" s="6" t="s">
        <v>28</v>
      </c>
      <c r="F4" s="6" t="s">
        <v>44</v>
      </c>
      <c r="G4" s="6" t="s">
        <v>43</v>
      </c>
      <c r="H4" s="6" t="s">
        <v>29</v>
      </c>
      <c r="I4" s="6" t="s">
        <v>30</v>
      </c>
      <c r="J4" s="6" t="s">
        <v>29</v>
      </c>
      <c r="K4" s="6" t="s">
        <v>43</v>
      </c>
      <c r="L4" s="6" t="s">
        <v>44</v>
      </c>
      <c r="M4" s="6" t="s">
        <v>28</v>
      </c>
      <c r="N4" s="6" t="s">
        <v>26</v>
      </c>
      <c r="O4" s="6" t="s">
        <v>27</v>
      </c>
      <c r="P4" s="18" t="s">
        <v>38</v>
      </c>
      <c r="S4" s="6" t="s">
        <v>38</v>
      </c>
      <c r="T4" s="25" t="s">
        <v>27</v>
      </c>
      <c r="U4" s="6" t="s">
        <v>26</v>
      </c>
      <c r="V4" s="6" t="s">
        <v>28</v>
      </c>
      <c r="W4" s="6" t="s">
        <v>44</v>
      </c>
      <c r="X4" s="6" t="s">
        <v>43</v>
      </c>
      <c r="Y4" s="6" t="s">
        <v>29</v>
      </c>
      <c r="Z4" s="6" t="s">
        <v>30</v>
      </c>
      <c r="AA4" s="6" t="s">
        <v>29</v>
      </c>
      <c r="AB4" s="6" t="s">
        <v>43</v>
      </c>
      <c r="AC4" s="6" t="s">
        <v>44</v>
      </c>
      <c r="AD4" s="6" t="s">
        <v>28</v>
      </c>
      <c r="AE4" s="6" t="s">
        <v>26</v>
      </c>
      <c r="AF4" s="26" t="s">
        <v>27</v>
      </c>
      <c r="AG4" s="18" t="s">
        <v>38</v>
      </c>
    </row>
    <row r="5" spans="2:33" ht="15.75" thickBot="1" x14ac:dyDescent="0.3">
      <c r="B5" s="30">
        <f>SUMIF(BANKNIFTY_Near_Expiry[Call.strikePrice],Analysis!I5,BANKNIFTY_Near_Expiry[Call.pchangeinOpenInterest])</f>
        <v>284.29101019462468</v>
      </c>
      <c r="C5" s="22">
        <f>SUMIF(BANKNIFTY_Near_Expiry[Call.strikePrice],Analysis!I5,BANKNIFTY_Near_Expiry[Call.changeinOpenInterest])</f>
        <v>6135</v>
      </c>
      <c r="D5" s="37">
        <f>SUMIF(BANKNIFTY_Near_Expiry[Call.strikePrice],Analysis!I5,BANKNIFTY_Near_Expiry[Call.totalTradedVolume])</f>
        <v>178614</v>
      </c>
      <c r="E5" s="4">
        <f>SUMIF(BANKNIFTY_Near_Expiry[Call.strikePrice],Analysis!I5,BANKNIFTY_Near_Expiry[Call.openInterest])</f>
        <v>8293</v>
      </c>
      <c r="F5" s="36">
        <f>SUMIF(BANKNIFTY_Near_Expiry[Call.strikePrice],Analysis!I5,BANKNIFTY_Near_Expiry[Call.pChange])</f>
        <v>-17.784657722738213</v>
      </c>
      <c r="G5" s="37">
        <f>SUMIF(BANKNIFTY_Near_Expiry[Call.strikePrice],Analysis!I5,BANKNIFTY_Near_Expiry[Call.change])</f>
        <v>-103.39999999999998</v>
      </c>
      <c r="H5" s="4">
        <f>SUMIF(BANKNIFTY_Near_Expiry[Call.strikePrice],Analysis!I5,BANKNIFTY_Near_Expiry[Call.lastPrice])</f>
        <v>478</v>
      </c>
      <c r="I5" s="31">
        <f>I6-100</f>
        <v>43300</v>
      </c>
      <c r="J5" s="4">
        <f>SUMIF(BANKNIFTY_Near_Expiry[Put.strikePrice],Analysis!I5,BANKNIFTY_Near_Expiry[Put.lastPrice])</f>
        <v>100.45</v>
      </c>
      <c r="K5" s="37">
        <f>SUMIF(BANKNIFTY_Near_Expiry[Put.strikePrice],Analysis!I5,BANKNIFTY_Near_Expiry[Put.change])</f>
        <v>-6.3499999999999943</v>
      </c>
      <c r="L5" s="36">
        <f>SUMIF(BANKNIFTY_Near_Expiry[Put.strikePrice],Analysis!I5,BANKNIFTY_Near_Expiry[Put.pChange])</f>
        <v>-5.9456928838951262</v>
      </c>
      <c r="M5" s="4">
        <f>SUMIF(BANKNIFTY_Near_Expiry[Put.strikePrice],Analysis!I5,BANKNIFTY_Near_Expiry[Put.openInterest])</f>
        <v>57724</v>
      </c>
      <c r="N5" s="4">
        <f>SUMIF(BANKNIFTY_Near_Expiry[Put.strikePrice],Analysis!I5,BANKNIFTY_Near_Expiry[Put.totalTradedVolume])</f>
        <v>1488864</v>
      </c>
      <c r="O5" s="19">
        <f>SUMIF(BANKNIFTY_Near_Expiry[Put.strikePrice],Analysis!I5,BANKNIFTY_Near_Expiry[Put.changeinOpenInterest])</f>
        <v>28120</v>
      </c>
      <c r="P5" s="29">
        <f>SUMIF(BANKNIFTY_Near_Expiry[Put.strikePrice],Analysis!I5,BANKNIFTY_Near_Expiry[Put.pchangeinOpenInterest])</f>
        <v>94.987163896770724</v>
      </c>
      <c r="S5" s="30">
        <f>SUMIF(NIFTY_Near_Expiry[Call.strikePrice],Analysis!Z5,NIFTY_Near_Expiry[Call.pchangeinOpenInterest])</f>
        <v>-1.0688110749185669</v>
      </c>
      <c r="T5" s="23">
        <f>SUMIF(NIFTY_Near_Expiry[Call.strikePrice],Analysis!Z5,NIFTY_Near_Expiry[Call.changeinOpenInterest])</f>
        <v>-105</v>
      </c>
      <c r="U5" s="5">
        <f>SUMIF(NIFTY_Near_Expiry[Call.strikePrice],Analysis!Z5,NIFTY_Near_Expiry[Call.totalTradedVolume])</f>
        <v>20490</v>
      </c>
      <c r="V5" s="5">
        <f>SUMIF(NIFTY_Near_Expiry[Call.strikePrice],Analysis!Z5,NIFTY_Near_Expiry[Call.openInterest])</f>
        <v>9719</v>
      </c>
      <c r="W5" s="38">
        <f>SUMIF(NIFTY_Near_Expiry[Call.strikePrice],Analysis!Z5,NIFTY_Near_Expiry[Call.pChange])</f>
        <v>-29.808672025359449</v>
      </c>
      <c r="X5" s="5">
        <f>SUMIF(NIFTY_Near_Expiry[Call.strikePrice],Analysis!Z5,BANKNIFTY_Near_Expiry[Call.change])</f>
        <v>-96.100000000000023</v>
      </c>
      <c r="Y5" s="5">
        <f>SUMIF(NIFTY_Near_Expiry[Call.strikePrice],Analysis!Z5,NIFTY_Near_Expiry[Call.lastPrice])</f>
        <v>310</v>
      </c>
      <c r="Z5" s="15">
        <f t="shared" ref="Z5:Z8" si="0">Z6-50</f>
        <v>18400</v>
      </c>
      <c r="AA5" s="5">
        <f>SUMIF(NIFTY_Near_Expiry[Put.strikePrice],Analysis!Z5,NIFTY_Near_Expiry[Put.lastPrice])</f>
        <v>8.6999999999999993</v>
      </c>
      <c r="AB5" s="5">
        <f>SUMIF(NIFTY_Near_Expiry[Put.strikePrice],Analysis!Z5,NIFTY_Near_Expiry[Put.change])</f>
        <v>-0.85000000000000142</v>
      </c>
      <c r="AC5" s="38">
        <f>SUMIF(NIFTY_Near_Expiry[Put.strikePrice],Analysis!Z5,NIFTY_Near_Expiry[Put.pChange])</f>
        <v>-8.9005235602094377</v>
      </c>
      <c r="AD5" s="5">
        <f>SUMIF(NIFTY_Near_Expiry[Put.strikePrice],Analysis!Z5,NIFTY_Near_Expiry[Put.openInterest])</f>
        <v>101680</v>
      </c>
      <c r="AE5" s="5">
        <f>SUMIF(NIFTY_Near_Expiry[Put.strikePrice],Analysis!Z5,NIFTY_Near_Expiry[Put.totalTradedVolume])</f>
        <v>1313479</v>
      </c>
      <c r="AF5" s="20">
        <f>SUMIF(NIFTY_Near_Expiry[Put.strikePrice],Analysis!Z5,NIFTY_Near_Expiry[Put.changeinOpenInterest])</f>
        <v>47211</v>
      </c>
      <c r="AG5" s="29">
        <f>SUMIF(NIFTY_Near_Expiry[Put.strikePrice],Analysis!Z5,NIFTY_Near_Expiry[Put.pchangeinOpenInterest])</f>
        <v>86.674989443536688</v>
      </c>
    </row>
    <row r="6" spans="2:33" ht="15.75" thickBot="1" x14ac:dyDescent="0.3">
      <c r="B6" s="30">
        <f>SUMIF(BANKNIFTY_Near_Expiry[Call.strikePrice],Analysis!I6,BANKNIFTY_Near_Expiry[Call.pchangeinOpenInterest])</f>
        <v>472.34982332155482</v>
      </c>
      <c r="C6" s="22">
        <f>SUMIF(BANKNIFTY_Near_Expiry[Call.strikePrice],Analysis!I6,BANKNIFTY_Near_Expiry[Call.changeinOpenInterest])</f>
        <v>16041</v>
      </c>
      <c r="D6" s="37">
        <f>SUMIF(BANKNIFTY_Near_Expiry[Call.strikePrice],Analysis!I6,BANKNIFTY_Near_Expiry[Call.totalTradedVolume])</f>
        <v>530226</v>
      </c>
      <c r="E6" s="4">
        <f>SUMIF(BANKNIFTY_Near_Expiry[Call.strikePrice],Analysis!I6,BANKNIFTY_Near_Expiry[Call.openInterest])</f>
        <v>19437</v>
      </c>
      <c r="F6" s="36">
        <f>SUMIF(BANKNIFTY_Near_Expiry[Call.strikePrice],Analysis!I6,BANKNIFTY_Near_Expiry[Call.pChange])</f>
        <v>-19.071604938271609</v>
      </c>
      <c r="G6" s="37">
        <f>SUMIF(BANKNIFTY_Near_Expiry[Call.strikePrice],Analysis!I6,BANKNIFTY_Near_Expiry[Call.change])</f>
        <v>-96.55</v>
      </c>
      <c r="H6" s="4">
        <f>SUMIF(BANKNIFTY_Near_Expiry[Call.strikePrice],Analysis!I6,BANKNIFTY_Near_Expiry[Call.lastPrice])</f>
        <v>409.7</v>
      </c>
      <c r="I6" s="15">
        <f>I7-100</f>
        <v>43400</v>
      </c>
      <c r="J6" s="4">
        <f>SUMIF(BANKNIFTY_Near_Expiry[Put.strikePrice],Analysis!I6,BANKNIFTY_Near_Expiry[Put.lastPrice])</f>
        <v>125.35</v>
      </c>
      <c r="K6" s="37">
        <f>SUMIF(BANKNIFTY_Near_Expiry[Put.strikePrice],Analysis!I6,BANKNIFTY_Near_Expiry[Put.change])</f>
        <v>-6.0999999999999943</v>
      </c>
      <c r="L6" s="36">
        <f>SUMIF(BANKNIFTY_Near_Expiry[Put.strikePrice],Analysis!I6,BANKNIFTY_Near_Expiry[Put.pChange])</f>
        <v>-4.6405477367820431</v>
      </c>
      <c r="M6" s="4">
        <f>SUMIF(BANKNIFTY_Near_Expiry[Put.strikePrice],Analysis!I6,BANKNIFTY_Near_Expiry[Put.openInterest])</f>
        <v>33949</v>
      </c>
      <c r="N6" s="4">
        <f>SUMIF(BANKNIFTY_Near_Expiry[Put.strikePrice],Analysis!I6,BANKNIFTY_Near_Expiry[Put.totalTradedVolume])</f>
        <v>1531329</v>
      </c>
      <c r="O6" s="19">
        <f>SUMIF(BANKNIFTY_Near_Expiry[Put.strikePrice],Analysis!I6,BANKNIFTY_Near_Expiry[Put.changeinOpenInterest])</f>
        <v>17693</v>
      </c>
      <c r="P6" s="29">
        <f>SUMIF(BANKNIFTY_Near_Expiry[Put.strikePrice],Analysis!I6,BANKNIFTY_Near_Expiry[Put.pchangeinOpenInterest])</f>
        <v>108.839812992126</v>
      </c>
      <c r="S6" s="30">
        <f>SUMIF(NIFTY_Near_Expiry[Call.strikePrice],Analysis!Z6,NIFTY_Near_Expiry[Call.pchangeinOpenInterest])</f>
        <v>7.8987730061349692</v>
      </c>
      <c r="T6" s="23">
        <f>SUMIF(NIFTY_Near_Expiry[Call.strikePrice],Analysis!Z6,NIFTY_Near_Expiry[Call.changeinOpenInterest])</f>
        <v>103</v>
      </c>
      <c r="U6" s="5">
        <f>SUMIF(NIFTY_Near_Expiry[Call.strikePrice],Analysis!Z6,NIFTY_Near_Expiry[Call.totalTradedVolume])</f>
        <v>8047</v>
      </c>
      <c r="V6" s="5">
        <f>SUMIF(NIFTY_Near_Expiry[Call.strikePrice],Analysis!Z6,NIFTY_Near_Expiry[Call.openInterest])</f>
        <v>1407</v>
      </c>
      <c r="W6" s="38">
        <f>SUMIF(NIFTY_Near_Expiry[Call.strikePrice],Analysis!Z6,NIFTY_Near_Expiry[Call.pChange])</f>
        <v>-32.421775629610792</v>
      </c>
      <c r="X6" s="5">
        <f>SUMIF(NIFTY_Near_Expiry[Call.strikePrice],Analysis!Z6,BANKNIFTY_Near_Expiry[Call.change])</f>
        <v>-97.75</v>
      </c>
      <c r="Y6" s="5">
        <f>SUMIF(NIFTY_Near_Expiry[Call.strikePrice],Analysis!Z6,NIFTY_Near_Expiry[Call.lastPrice])</f>
        <v>265.64999999999998</v>
      </c>
      <c r="Z6" s="15">
        <f t="shared" si="0"/>
        <v>18450</v>
      </c>
      <c r="AA6" s="5">
        <f>SUMIF(NIFTY_Near_Expiry[Put.strikePrice],Analysis!Z6,NIFTY_Near_Expiry[Put.lastPrice])</f>
        <v>12.8</v>
      </c>
      <c r="AB6" s="5">
        <f>SUMIF(NIFTY_Near_Expiry[Put.strikePrice],Analysis!Z6,NIFTY_Near_Expiry[Put.change])</f>
        <v>1.4000000000000004</v>
      </c>
      <c r="AC6" s="38">
        <f>SUMIF(NIFTY_Near_Expiry[Put.strikePrice],Analysis!Z6,NIFTY_Near_Expiry[Put.pChange])</f>
        <v>12.280701754385968</v>
      </c>
      <c r="AD6" s="5">
        <f>SUMIF(NIFTY_Near_Expiry[Put.strikePrice],Analysis!Z6,NIFTY_Near_Expiry[Put.openInterest])</f>
        <v>52667</v>
      </c>
      <c r="AE6" s="5">
        <f>SUMIF(NIFTY_Near_Expiry[Put.strikePrice],Analysis!Z6,NIFTY_Near_Expiry[Put.totalTradedVolume])</f>
        <v>912175</v>
      </c>
      <c r="AF6" s="20">
        <f>SUMIF(NIFTY_Near_Expiry[Put.strikePrice],Analysis!Z6,NIFTY_Near_Expiry[Put.changeinOpenInterest])</f>
        <v>34699</v>
      </c>
      <c r="AG6" s="29">
        <f>SUMIF(NIFTY_Near_Expiry[Put.strikePrice],Analysis!Z6,NIFTY_Near_Expiry[Put.pchangeinOpenInterest])</f>
        <v>193.11553873552984</v>
      </c>
    </row>
    <row r="7" spans="2:33" ht="15.75" thickBot="1" x14ac:dyDescent="0.3">
      <c r="B7" s="30">
        <f>SUMIF(BANKNIFTY_Near_Expiry[Call.strikePrice],Analysis!I7,BANKNIFTY_Near_Expiry[Call.pchangeinOpenInterest])</f>
        <v>187.06206485721731</v>
      </c>
      <c r="C7" s="22">
        <f>SUMIF(BANKNIFTY_Near_Expiry[Call.strikePrice],Analysis!I7,BANKNIFTY_Near_Expiry[Call.changeinOpenInterest])</f>
        <v>50243</v>
      </c>
      <c r="D7" s="37">
        <f>SUMIF(BANKNIFTY_Near_Expiry[Call.strikePrice],Analysis!I7,BANKNIFTY_Near_Expiry[Call.totalTradedVolume])</f>
        <v>1778794</v>
      </c>
      <c r="E7" s="4">
        <f>SUMIF(BANKNIFTY_Near_Expiry[Call.strikePrice],Analysis!I7,BANKNIFTY_Near_Expiry[Call.openInterest])</f>
        <v>77102</v>
      </c>
      <c r="F7" s="36">
        <f>SUMIF(BANKNIFTY_Near_Expiry[Call.strikePrice],Analysis!I7,BANKNIFTY_Near_Expiry[Call.pChange])</f>
        <v>-22.165840156844659</v>
      </c>
      <c r="G7" s="37">
        <f>SUMIF(BANKNIFTY_Near_Expiry[Call.strikePrice],Analysis!I7,BANKNIFTY_Near_Expiry[Call.change])</f>
        <v>-96.100000000000023</v>
      </c>
      <c r="H7" s="4">
        <f>SUMIF(BANKNIFTY_Near_Expiry[Call.strikePrice],Analysis!I7,BANKNIFTY_Near_Expiry[Call.lastPrice])</f>
        <v>337.45</v>
      </c>
      <c r="I7" s="32">
        <f>I8-100</f>
        <v>43500</v>
      </c>
      <c r="J7" s="4">
        <f>SUMIF(BANKNIFTY_Near_Expiry[Put.strikePrice],Analysis!I7,BANKNIFTY_Near_Expiry[Put.lastPrice])</f>
        <v>158.05000000000001</v>
      </c>
      <c r="K7" s="37">
        <f>SUMIF(BANKNIFTY_Near_Expiry[Put.strikePrice],Analysis!I7,BANKNIFTY_Near_Expiry[Put.change])</f>
        <v>-3.1499999999999773</v>
      </c>
      <c r="L7" s="36">
        <f>SUMIF(BANKNIFTY_Near_Expiry[Put.strikePrice],Analysis!I7,BANKNIFTY_Near_Expiry[Put.pChange])</f>
        <v>-1.9540942928039564</v>
      </c>
      <c r="M7" s="4">
        <f>SUMIF(BANKNIFTY_Near_Expiry[Put.strikePrice],Analysis!I7,BANKNIFTY_Near_Expiry[Put.openInterest])</f>
        <v>153007</v>
      </c>
      <c r="N7" s="4">
        <f>SUMIF(BANKNIFTY_Near_Expiry[Put.strikePrice],Analysis!I7,BANKNIFTY_Near_Expiry[Put.totalTradedVolume])</f>
        <v>3891095</v>
      </c>
      <c r="O7" s="19">
        <f>SUMIF(BANKNIFTY_Near_Expiry[Put.strikePrice],Analysis!I7,BANKNIFTY_Near_Expiry[Put.changeinOpenInterest])</f>
        <v>71854</v>
      </c>
      <c r="P7" s="29">
        <f>SUMIF(BANKNIFTY_Near_Expiry[Put.strikePrice],Analysis!I7,BANKNIFTY_Near_Expiry[Put.pchangeinOpenInterest])</f>
        <v>88.54139711409313</v>
      </c>
      <c r="S7" s="30">
        <f>SUMIF(NIFTY_Near_Expiry[Call.strikePrice],Analysis!Z7,NIFTY_Near_Expiry[Call.pchangeinOpenInterest])</f>
        <v>-2.0216782365119963</v>
      </c>
      <c r="T7" s="23">
        <f>SUMIF(NIFTY_Near_Expiry[Call.strikePrice],Analysis!Z7,NIFTY_Near_Expiry[Call.changeinOpenInterest])</f>
        <v>-498</v>
      </c>
      <c r="U7" s="5">
        <f>SUMIF(NIFTY_Near_Expiry[Call.strikePrice],Analysis!Z7,NIFTY_Near_Expiry[Call.totalTradedVolume])</f>
        <v>186218</v>
      </c>
      <c r="V7" s="5">
        <f>SUMIF(NIFTY_Near_Expiry[Call.strikePrice],Analysis!Z7,NIFTY_Near_Expiry[Call.openInterest])</f>
        <v>24135</v>
      </c>
      <c r="W7" s="38">
        <f>SUMIF(NIFTY_Near_Expiry[Call.strikePrice],Analysis!Z7,NIFTY_Near_Expiry[Call.pChange])</f>
        <v>-36.535410356267121</v>
      </c>
      <c r="X7" s="5">
        <f>SUMIF(NIFTY_Near_Expiry[Call.strikePrice],Analysis!Z7,BANKNIFTY_Near_Expiry[Call.change])</f>
        <v>-86.149999999999977</v>
      </c>
      <c r="Y7" s="5">
        <f>SUMIF(NIFTY_Near_Expiry[Call.strikePrice],Analysis!Z7,NIFTY_Near_Expiry[Call.lastPrice])</f>
        <v>220</v>
      </c>
      <c r="Z7" s="15">
        <f t="shared" si="0"/>
        <v>18500</v>
      </c>
      <c r="AA7" s="5">
        <f>SUMIF(NIFTY_Near_Expiry[Put.strikePrice],Analysis!Z7,NIFTY_Near_Expiry[Put.lastPrice])</f>
        <v>19.05</v>
      </c>
      <c r="AB7" s="5">
        <f>SUMIF(NIFTY_Near_Expiry[Put.strikePrice],Analysis!Z7,NIFTY_Near_Expiry[Put.change])</f>
        <v>4.3000000000000007</v>
      </c>
      <c r="AC7" s="38">
        <f>SUMIF(NIFTY_Near_Expiry[Put.strikePrice],Analysis!Z7,NIFTY_Near_Expiry[Put.pChange])</f>
        <v>29.152542372881364</v>
      </c>
      <c r="AD7" s="5">
        <f>SUMIF(NIFTY_Near_Expiry[Put.strikePrice],Analysis!Z7,NIFTY_Near_Expiry[Put.openInterest])</f>
        <v>132224</v>
      </c>
      <c r="AE7" s="5">
        <f>SUMIF(NIFTY_Near_Expiry[Put.strikePrice],Analysis!Z7,NIFTY_Near_Expiry[Put.totalTradedVolume])</f>
        <v>1898848</v>
      </c>
      <c r="AF7" s="20">
        <f>SUMIF(NIFTY_Near_Expiry[Put.strikePrice],Analysis!Z7,NIFTY_Near_Expiry[Put.changeinOpenInterest])</f>
        <v>45907</v>
      </c>
      <c r="AG7" s="29">
        <f>SUMIF(NIFTY_Near_Expiry[Put.strikePrice],Analysis!Z7,NIFTY_Near_Expiry[Put.pchangeinOpenInterest])</f>
        <v>53.184193148510722</v>
      </c>
    </row>
    <row r="8" spans="2:33" ht="15.75" thickBot="1" x14ac:dyDescent="0.3">
      <c r="B8" s="30">
        <f>SUMIF(BANKNIFTY_Near_Expiry[Call.strikePrice],Analysis!I8,BANKNIFTY_Near_Expiry[Call.pchangeinOpenInterest])</f>
        <v>255.67293295624688</v>
      </c>
      <c r="C8" s="22">
        <f>SUMIF(BANKNIFTY_Near_Expiry[Call.strikePrice],Analysis!I8,BANKNIFTY_Near_Expiry[Call.changeinOpenInterest])</f>
        <v>30737</v>
      </c>
      <c r="D8" s="37">
        <f>SUMIF(BANKNIFTY_Near_Expiry[Call.strikePrice],Analysis!I8,BANKNIFTY_Near_Expiry[Call.totalTradedVolume])</f>
        <v>2729334</v>
      </c>
      <c r="E8" s="4">
        <f>SUMIF(BANKNIFTY_Near_Expiry[Call.strikePrice],Analysis!I8,BANKNIFTY_Near_Expiry[Call.openInterest])</f>
        <v>42759</v>
      </c>
      <c r="F8" s="36">
        <f>SUMIF(BANKNIFTY_Near_Expiry[Call.strikePrice],Analysis!I8,BANKNIFTY_Near_Expiry[Call.pChange])</f>
        <v>-26.45824874813913</v>
      </c>
      <c r="G8" s="37">
        <f>SUMIF(BANKNIFTY_Near_Expiry[Call.strikePrice],Analysis!I8,BANKNIFTY_Near_Expiry[Call.change])</f>
        <v>-97.75</v>
      </c>
      <c r="H8" s="4">
        <f>SUMIF(BANKNIFTY_Near_Expiry[Call.strikePrice],Analysis!I8,BANKNIFTY_Near_Expiry[Call.lastPrice])</f>
        <v>271.7</v>
      </c>
      <c r="I8" s="16">
        <f>ROUND('BankNifty Near Expiry'!O4/100,0)*100</f>
        <v>43600</v>
      </c>
      <c r="J8" s="4">
        <f>SUMIF(BANKNIFTY_Near_Expiry[Put.strikePrice],Analysis!I8,BANKNIFTY_Near_Expiry[Put.lastPrice])</f>
        <v>194.6</v>
      </c>
      <c r="K8" s="37">
        <f>SUMIF(BANKNIFTY_Near_Expiry[Put.strikePrice],Analysis!I8,BANKNIFTY_Near_Expiry[Put.change])</f>
        <v>-0.5</v>
      </c>
      <c r="L8" s="36">
        <f>SUMIF(BANKNIFTY_Near_Expiry[Put.strikePrice],Analysis!I8,BANKNIFTY_Near_Expiry[Put.pChange])</f>
        <v>-0.25627883136852897</v>
      </c>
      <c r="M8" s="4">
        <f>SUMIF(BANKNIFTY_Near_Expiry[Put.strikePrice],Analysis!I8,BANKNIFTY_Near_Expiry[Put.openInterest])</f>
        <v>68741</v>
      </c>
      <c r="N8" s="4">
        <f>SUMIF(BANKNIFTY_Near_Expiry[Put.strikePrice],Analysis!I8,BANKNIFTY_Near_Expiry[Put.totalTradedVolume])</f>
        <v>4267706</v>
      </c>
      <c r="O8" s="19">
        <f>SUMIF(BANKNIFTY_Near_Expiry[Put.strikePrice],Analysis!I8,BANKNIFTY_Near_Expiry[Put.changeinOpenInterest])</f>
        <v>48193</v>
      </c>
      <c r="P8" s="29">
        <f>SUMIF(BANKNIFTY_Near_Expiry[Put.strikePrice],Analysis!I8,BANKNIFTY_Near_Expiry[Put.pchangeinOpenInterest])</f>
        <v>234.53864123029004</v>
      </c>
      <c r="S8" s="30">
        <f>SUMIF(NIFTY_Near_Expiry[Call.strikePrice],Analysis!Z8,NIFTY_Near_Expiry[Call.pchangeinOpenInterest])</f>
        <v>182.15712383488679</v>
      </c>
      <c r="T8" s="23">
        <f>SUMIF(NIFTY_Near_Expiry[Call.strikePrice],Analysis!Z8,NIFTY_Near_Expiry[Call.changeinOpenInterest])</f>
        <v>2736</v>
      </c>
      <c r="U8" s="5">
        <f>SUMIF(NIFTY_Near_Expiry[Call.strikePrice],Analysis!Z8,NIFTY_Near_Expiry[Call.totalTradedVolume])</f>
        <v>95112</v>
      </c>
      <c r="V8" s="5">
        <f>SUMIF(NIFTY_Near_Expiry[Call.strikePrice],Analysis!Z8,NIFTY_Near_Expiry[Call.openInterest])</f>
        <v>4238</v>
      </c>
      <c r="W8" s="38">
        <f>SUMIF(NIFTY_Near_Expiry[Call.strikePrice],Analysis!Z8,NIFTY_Near_Expiry[Call.pChange])</f>
        <v>-39.983374896093096</v>
      </c>
      <c r="X8" s="5">
        <f>SUMIF(NIFTY_Near_Expiry[Call.strikePrice],Analysis!Z8,BANKNIFTY_Near_Expiry[Call.change])</f>
        <v>-83.4</v>
      </c>
      <c r="Y8" s="5">
        <f>SUMIF(NIFTY_Near_Expiry[Call.strikePrice],Analysis!Z8,NIFTY_Near_Expiry[Call.lastPrice])</f>
        <v>180.5</v>
      </c>
      <c r="Z8" s="15">
        <f t="shared" si="0"/>
        <v>18550</v>
      </c>
      <c r="AA8" s="5">
        <f>SUMIF(NIFTY_Near_Expiry[Put.strikePrice],Analysis!Z8,NIFTY_Near_Expiry[Put.lastPrice])</f>
        <v>27.55</v>
      </c>
      <c r="AB8" s="5">
        <f>SUMIF(NIFTY_Near_Expiry[Put.strikePrice],Analysis!Z8,NIFTY_Near_Expiry[Put.change])</f>
        <v>8.75</v>
      </c>
      <c r="AC8" s="38">
        <f>SUMIF(NIFTY_Near_Expiry[Put.strikePrice],Analysis!Z8,NIFTY_Near_Expiry[Put.pChange])</f>
        <v>46.542553191489361</v>
      </c>
      <c r="AD8" s="5">
        <f>SUMIF(NIFTY_Near_Expiry[Put.strikePrice],Analysis!Z8,NIFTY_Near_Expiry[Put.openInterest])</f>
        <v>43195</v>
      </c>
      <c r="AE8" s="5">
        <f>SUMIF(NIFTY_Near_Expiry[Put.strikePrice],Analysis!Z8,NIFTY_Near_Expiry[Put.totalTradedVolume])</f>
        <v>1174867</v>
      </c>
      <c r="AF8" s="20">
        <f>SUMIF(NIFTY_Near_Expiry[Put.strikePrice],Analysis!Z8,NIFTY_Near_Expiry[Put.changeinOpenInterest])</f>
        <v>21543</v>
      </c>
      <c r="AG8" s="29">
        <f>SUMIF(NIFTY_Near_Expiry[Put.strikePrice],Analysis!Z8,NIFTY_Near_Expiry[Put.pchangeinOpenInterest])</f>
        <v>99.496582301865885</v>
      </c>
    </row>
    <row r="9" spans="2:33" ht="15.75" thickBot="1" x14ac:dyDescent="0.3">
      <c r="B9" s="30">
        <f>SUMIF(BANKNIFTY_Near_Expiry[Call.strikePrice],Analysis!I9,BANKNIFTY_Near_Expiry[Call.pchangeinOpenInterest])</f>
        <v>162.24435590969455</v>
      </c>
      <c r="C9" s="22">
        <f>SUMIF(BANKNIFTY_Near_Expiry[Call.strikePrice],Analysis!I9,BANKNIFTY_Near_Expiry[Call.changeinOpenInterest])</f>
        <v>48868</v>
      </c>
      <c r="D9" s="37">
        <f>SUMIF(BANKNIFTY_Near_Expiry[Call.strikePrice],Analysis!I9,BANKNIFTY_Near_Expiry[Call.totalTradedVolume])</f>
        <v>4081939</v>
      </c>
      <c r="E9" s="4">
        <f>SUMIF(BANKNIFTY_Near_Expiry[Call.strikePrice],Analysis!I9,BANKNIFTY_Near_Expiry[Call.openInterest])</f>
        <v>78988</v>
      </c>
      <c r="F9" s="36">
        <f>SUMIF(BANKNIFTY_Near_Expiry[Call.strikePrice],Analysis!I9,BANKNIFTY_Near_Expiry[Call.pChange])</f>
        <v>-27.95716371896803</v>
      </c>
      <c r="G9" s="37">
        <f>SUMIF(BANKNIFTY_Near_Expiry[Call.strikePrice],Analysis!I9,BANKNIFTY_Near_Expiry[Call.change])</f>
        <v>-86.149999999999977</v>
      </c>
      <c r="H9" s="4">
        <f>SUMIF(BANKNIFTY_Near_Expiry[Call.strikePrice],Analysis!I9,BANKNIFTY_Near_Expiry[Call.lastPrice])</f>
        <v>222</v>
      </c>
      <c r="I9" s="33">
        <f>I8+100</f>
        <v>43700</v>
      </c>
      <c r="J9" s="4">
        <f>SUMIF(BANKNIFTY_Near_Expiry[Put.strikePrice],Analysis!I9,BANKNIFTY_Near_Expiry[Put.lastPrice])</f>
        <v>240</v>
      </c>
      <c r="K9" s="37">
        <f>SUMIF(BANKNIFTY_Near_Expiry[Put.strikePrice],Analysis!I9,BANKNIFTY_Near_Expiry[Put.change])</f>
        <v>5.25</v>
      </c>
      <c r="L9" s="36">
        <f>SUMIF(BANKNIFTY_Near_Expiry[Put.strikePrice],Analysis!I9,BANKNIFTY_Near_Expiry[Put.pChange])</f>
        <v>2.2364217252396164</v>
      </c>
      <c r="M9" s="4">
        <f>SUMIF(BANKNIFTY_Near_Expiry[Put.strikePrice],Analysis!I9,BANKNIFTY_Near_Expiry[Put.openInterest])</f>
        <v>69288</v>
      </c>
      <c r="N9" s="4">
        <f>SUMIF(BANKNIFTY_Near_Expiry[Put.strikePrice],Analysis!I9,BANKNIFTY_Near_Expiry[Put.totalTradedVolume])</f>
        <v>4865709</v>
      </c>
      <c r="O9" s="19">
        <f>SUMIF(BANKNIFTY_Near_Expiry[Put.strikePrice],Analysis!I9,BANKNIFTY_Near_Expiry[Put.changeinOpenInterest])</f>
        <v>40001</v>
      </c>
      <c r="P9" s="29">
        <f>SUMIF(BANKNIFTY_Near_Expiry[Put.strikePrice],Analysis!I9,BANKNIFTY_Near_Expiry[Put.pchangeinOpenInterest])</f>
        <v>136.58278417045105</v>
      </c>
      <c r="S9" s="30">
        <f>SUMIF(NIFTY_Near_Expiry[Call.strikePrice],Analysis!Z9,NIFTY_Near_Expiry[Call.pchangeinOpenInterest])</f>
        <v>61.972772868402195</v>
      </c>
      <c r="T9" s="23">
        <f>SUMIF(NIFTY_Near_Expiry[Call.strikePrice],Analysis!Z9,NIFTY_Near_Expiry[Call.changeinOpenInterest])</f>
        <v>12974</v>
      </c>
      <c r="U9" s="5">
        <f>SUMIF(NIFTY_Near_Expiry[Call.strikePrice],Analysis!Z9,NIFTY_Near_Expiry[Call.totalTradedVolume])</f>
        <v>825762</v>
      </c>
      <c r="V9" s="5">
        <f>SUMIF(NIFTY_Near_Expiry[Call.strikePrice],Analysis!Z9,NIFTY_Near_Expiry[Call.openInterest])</f>
        <v>33909</v>
      </c>
      <c r="W9" s="38">
        <f>SUMIF(NIFTY_Near_Expiry[Call.strikePrice],Analysis!Z9,NIFTY_Near_Expiry[Call.pChange])</f>
        <v>-44.991246839136359</v>
      </c>
      <c r="X9" s="5">
        <f>SUMIF(NIFTY_Near_Expiry[Call.strikePrice],Analysis!Z9,BANKNIFTY_Near_Expiry[Call.change])</f>
        <v>-77.199999999999989</v>
      </c>
      <c r="Y9" s="5">
        <f>SUMIF(NIFTY_Near_Expiry[Call.strikePrice],Analysis!Z9,NIFTY_Near_Expiry[Call.lastPrice])</f>
        <v>141.4</v>
      </c>
      <c r="Z9" s="32">
        <f>Z10-50</f>
        <v>18600</v>
      </c>
      <c r="AA9" s="5">
        <f>SUMIF(NIFTY_Near_Expiry[Put.strikePrice],Analysis!Z9,NIFTY_Near_Expiry[Put.lastPrice])</f>
        <v>39.65</v>
      </c>
      <c r="AB9" s="5">
        <f>SUMIF(NIFTY_Near_Expiry[Put.strikePrice],Analysis!Z9,NIFTY_Near_Expiry[Put.change])</f>
        <v>14.799999999999995</v>
      </c>
      <c r="AC9" s="38">
        <f>SUMIF(NIFTY_Near_Expiry[Put.strikePrice],Analysis!Z9,NIFTY_Near_Expiry[Put.pChange])</f>
        <v>59.557344064386307</v>
      </c>
      <c r="AD9" s="5">
        <f>SUMIF(NIFTY_Near_Expiry[Put.strikePrice],Analysis!Z9,NIFTY_Near_Expiry[Put.openInterest])</f>
        <v>107254</v>
      </c>
      <c r="AE9" s="5">
        <f>SUMIF(NIFTY_Near_Expiry[Put.strikePrice],Analysis!Z9,NIFTY_Near_Expiry[Put.totalTradedVolume])</f>
        <v>2903956</v>
      </c>
      <c r="AF9" s="20">
        <f>SUMIF(NIFTY_Near_Expiry[Put.strikePrice],Analysis!Z9,NIFTY_Near_Expiry[Put.changeinOpenInterest])</f>
        <v>26757</v>
      </c>
      <c r="AG9" s="29">
        <f>SUMIF(NIFTY_Near_Expiry[Put.strikePrice],Analysis!Z9,NIFTY_Near_Expiry[Put.pchangeinOpenInterest])</f>
        <v>33.239748065145285</v>
      </c>
    </row>
    <row r="10" spans="2:33" ht="15.75" thickBot="1" x14ac:dyDescent="0.3">
      <c r="B10" s="30">
        <f>SUMIF(BANKNIFTY_Near_Expiry[Call.strikePrice],Analysis!I10,BANKNIFTY_Near_Expiry[Call.pchangeinOpenInterest])</f>
        <v>101.67607418500172</v>
      </c>
      <c r="C10" s="22">
        <f>SUMIF(BANKNIFTY_Near_Expiry[Call.strikePrice],Analysis!I10,BANKNIFTY_Near_Expiry[Call.changeinOpenInterest])</f>
        <v>52959</v>
      </c>
      <c r="D10" s="37">
        <f>SUMIF(BANKNIFTY_Near_Expiry[Call.strikePrice],Analysis!I10,BANKNIFTY_Near_Expiry[Call.totalTradedVolume])</f>
        <v>3683248</v>
      </c>
      <c r="E10" s="4">
        <f>SUMIF(BANKNIFTY_Near_Expiry[Call.strikePrice],Analysis!I10,BANKNIFTY_Near_Expiry[Call.openInterest])</f>
        <v>105045</v>
      </c>
      <c r="F10" s="36">
        <f>SUMIF(BANKNIFTY_Near_Expiry[Call.strikePrice],Analysis!I10,BANKNIFTY_Near_Expiry[Call.pChange])</f>
        <v>-32.629107981220663</v>
      </c>
      <c r="G10" s="37">
        <f>SUMIF(BANKNIFTY_Near_Expiry[Call.strikePrice],Analysis!I10,BANKNIFTY_Near_Expiry[Call.change])</f>
        <v>-83.4</v>
      </c>
      <c r="H10" s="4">
        <f>SUMIF(BANKNIFTY_Near_Expiry[Call.strikePrice],Analysis!I10,BANKNIFTY_Near_Expiry[Call.lastPrice])</f>
        <v>172.2</v>
      </c>
      <c r="I10" s="15">
        <f>I9+100</f>
        <v>43800</v>
      </c>
      <c r="J10" s="4">
        <f>SUMIF(BANKNIFTY_Near_Expiry[Put.strikePrice],Analysis!I10,BANKNIFTY_Near_Expiry[Put.lastPrice])</f>
        <v>291.8</v>
      </c>
      <c r="K10" s="37">
        <f>SUMIF(BANKNIFTY_Near_Expiry[Put.strikePrice],Analysis!I10,BANKNIFTY_Near_Expiry[Put.change])</f>
        <v>12</v>
      </c>
      <c r="L10" s="36">
        <f>SUMIF(BANKNIFTY_Near_Expiry[Put.strikePrice],Analysis!I10,BANKNIFTY_Near_Expiry[Put.pChange])</f>
        <v>4.2887776983559682</v>
      </c>
      <c r="M10" s="4">
        <f>SUMIF(BANKNIFTY_Near_Expiry[Put.strikePrice],Analysis!I10,BANKNIFTY_Near_Expiry[Put.openInterest])</f>
        <v>42849</v>
      </c>
      <c r="N10" s="4">
        <f>SUMIF(BANKNIFTY_Near_Expiry[Put.strikePrice],Analysis!I10,BANKNIFTY_Near_Expiry[Put.totalTradedVolume])</f>
        <v>2902036</v>
      </c>
      <c r="O10" s="19">
        <f>SUMIF(BANKNIFTY_Near_Expiry[Put.strikePrice],Analysis!I10,BANKNIFTY_Near_Expiry[Put.changeinOpenInterest])</f>
        <v>3705</v>
      </c>
      <c r="P10" s="29">
        <f>SUMIF(BANKNIFTY_Near_Expiry[Put.strikePrice],Analysis!I10,BANKNIFTY_Near_Expiry[Put.pchangeinOpenInterest])</f>
        <v>9.4650521152667082</v>
      </c>
      <c r="S10" s="30">
        <f>SUMIF(NIFTY_Near_Expiry[Call.strikePrice],Analysis!Z10,NIFTY_Near_Expiry[Call.pchangeinOpenInterest])</f>
        <v>815.32605097649787</v>
      </c>
      <c r="T10" s="23">
        <f>SUMIF(NIFTY_Near_Expiry[Call.strikePrice],Analysis!Z10,NIFTY_Near_Expiry[Call.changeinOpenInterest])</f>
        <v>24631</v>
      </c>
      <c r="U10" s="5">
        <f>SUMIF(NIFTY_Near_Expiry[Call.strikePrice],Analysis!Z10,NIFTY_Near_Expiry[Call.totalTradedVolume])</f>
        <v>1038294</v>
      </c>
      <c r="V10" s="5">
        <f>SUMIF(NIFTY_Near_Expiry[Call.strikePrice],Analysis!Z10,NIFTY_Near_Expiry[Call.openInterest])</f>
        <v>27652</v>
      </c>
      <c r="W10" s="38">
        <f>SUMIF(NIFTY_Near_Expiry[Call.strikePrice],Analysis!Z10,NIFTY_Near_Expiry[Call.pChange])</f>
        <v>-49.326521133302379</v>
      </c>
      <c r="X10" s="5">
        <f>SUMIF(NIFTY_Near_Expiry[Call.strikePrice],Analysis!Z10,BANKNIFTY_Near_Expiry[Call.change])</f>
        <v>-64.55</v>
      </c>
      <c r="Y10" s="5">
        <f>SUMIF(NIFTY_Near_Expiry[Call.strikePrice],Analysis!Z10,NIFTY_Near_Expiry[Call.lastPrice])</f>
        <v>109.1</v>
      </c>
      <c r="Z10" s="16">
        <f>ROUND(MAX(NIFTY_Near_Expiry[Call.underlyingValue])/50,0)*50</f>
        <v>18650</v>
      </c>
      <c r="AA10" s="5">
        <f>SUMIF(NIFTY_Near_Expiry[Put.strikePrice],Analysis!Z10,NIFTY_Near_Expiry[Put.lastPrice])</f>
        <v>56.05</v>
      </c>
      <c r="AB10" s="5">
        <f>SUMIF(NIFTY_Near_Expiry[Put.strikePrice],Analysis!Z10,NIFTY_Near_Expiry[Put.change])</f>
        <v>22.799999999999997</v>
      </c>
      <c r="AC10" s="38">
        <f>SUMIF(NIFTY_Near_Expiry[Put.strikePrice],Analysis!Z10,NIFTY_Near_Expiry[Put.pChange])</f>
        <v>68.571428571428555</v>
      </c>
      <c r="AD10" s="5">
        <f>SUMIF(NIFTY_Near_Expiry[Put.strikePrice],Analysis!Z10,NIFTY_Near_Expiry[Put.openInterest])</f>
        <v>49700</v>
      </c>
      <c r="AE10" s="5">
        <f>SUMIF(NIFTY_Near_Expiry[Put.strikePrice],Analysis!Z10,NIFTY_Near_Expiry[Put.totalTradedVolume])</f>
        <v>2663429</v>
      </c>
      <c r="AF10" s="20">
        <f>SUMIF(NIFTY_Near_Expiry[Put.strikePrice],Analysis!Z10,NIFTY_Near_Expiry[Put.changeinOpenInterest])</f>
        <v>24243</v>
      </c>
      <c r="AG10" s="29">
        <f>SUMIF(NIFTY_Near_Expiry[Put.strikePrice],Analysis!Z10,NIFTY_Near_Expiry[Put.pchangeinOpenInterest])</f>
        <v>95.231174136779686</v>
      </c>
    </row>
    <row r="11" spans="2:33" ht="15.75" thickBot="1" x14ac:dyDescent="0.3">
      <c r="B11" s="30">
        <f>SUMIF(BANKNIFTY_Near_Expiry[Call.strikePrice],Analysis!I11,BANKNIFTY_Near_Expiry[Call.pchangeinOpenInterest])</f>
        <v>51.357232848470957</v>
      </c>
      <c r="C11" s="22">
        <f>SUMIF(BANKNIFTY_Near_Expiry[Call.strikePrice],Analysis!I11,BANKNIFTY_Near_Expiry[Call.changeinOpenInterest])</f>
        <v>22420</v>
      </c>
      <c r="D11" s="37">
        <f>SUMIF(BANKNIFTY_Near_Expiry[Call.strikePrice],Analysis!I11,BANKNIFTY_Near_Expiry[Call.totalTradedVolume])</f>
        <v>2001320</v>
      </c>
      <c r="E11" s="4">
        <f>SUMIF(BANKNIFTY_Near_Expiry[Call.strikePrice],Analysis!I11,BANKNIFTY_Near_Expiry[Call.openInterest])</f>
        <v>66075</v>
      </c>
      <c r="F11" s="36">
        <f>SUMIF(BANKNIFTY_Near_Expiry[Call.strikePrice],Analysis!I11,BANKNIFTY_Near_Expiry[Call.pChange])</f>
        <v>-37.18689788053949</v>
      </c>
      <c r="G11" s="37">
        <f>SUMIF(BANKNIFTY_Near_Expiry[Call.strikePrice],Analysis!I11,BANKNIFTY_Near_Expiry[Call.change])</f>
        <v>-77.199999999999989</v>
      </c>
      <c r="H11" s="4">
        <f>SUMIF(BANKNIFTY_Near_Expiry[Call.strikePrice],Analysis!I11,BANKNIFTY_Near_Expiry[Call.lastPrice])</f>
        <v>130.4</v>
      </c>
      <c r="I11" s="34">
        <f>I10+100</f>
        <v>43900</v>
      </c>
      <c r="J11" s="4">
        <f>SUMIF(BANKNIFTY_Near_Expiry[Put.strikePrice],Analysis!I11,BANKNIFTY_Near_Expiry[Put.lastPrice])</f>
        <v>351.25</v>
      </c>
      <c r="K11" s="37">
        <f>SUMIF(BANKNIFTY_Near_Expiry[Put.strikePrice],Analysis!I11,BANKNIFTY_Near_Expiry[Put.change])</f>
        <v>18.5</v>
      </c>
      <c r="L11" s="36">
        <f>SUMIF(BANKNIFTY_Near_Expiry[Put.strikePrice],Analysis!I11,BANKNIFTY_Near_Expiry[Put.pChange])</f>
        <v>5.559729526671676</v>
      </c>
      <c r="M11" s="4">
        <f>SUMIF(BANKNIFTY_Near_Expiry[Put.strikePrice],Analysis!I11,BANKNIFTY_Near_Expiry[Put.openInterest])</f>
        <v>19717</v>
      </c>
      <c r="N11" s="4">
        <f>SUMIF(BANKNIFTY_Near_Expiry[Put.strikePrice],Analysis!I11,BANKNIFTY_Near_Expiry[Put.totalTradedVolume])</f>
        <v>1256129</v>
      </c>
      <c r="O11" s="19">
        <f>SUMIF(BANKNIFTY_Near_Expiry[Put.strikePrice],Analysis!I11,BANKNIFTY_Near_Expiry[Put.changeinOpenInterest])</f>
        <v>4503</v>
      </c>
      <c r="P11" s="29">
        <f>SUMIF(BANKNIFTY_Near_Expiry[Put.strikePrice],Analysis!I11,BANKNIFTY_Near_Expiry[Put.pchangeinOpenInterest])</f>
        <v>29.597738924674641</v>
      </c>
      <c r="S11" s="30">
        <f>SUMIF(NIFTY_Near_Expiry[Call.strikePrice],Analysis!Z11,NIFTY_Near_Expiry[Call.pchangeinOpenInterest])</f>
        <v>338.62288629360125</v>
      </c>
      <c r="T11" s="23">
        <f>SUMIF(NIFTY_Near_Expiry[Call.strikePrice],Analysis!Z11,NIFTY_Near_Expiry[Call.changeinOpenInterest])</f>
        <v>130766</v>
      </c>
      <c r="U11" s="5">
        <f>SUMIF(NIFTY_Near_Expiry[Call.strikePrice],Analysis!Z11,NIFTY_Near_Expiry[Call.totalTradedVolume])</f>
        <v>4067869</v>
      </c>
      <c r="V11" s="5">
        <f>SUMIF(NIFTY_Near_Expiry[Call.strikePrice],Analysis!Z11,NIFTY_Near_Expiry[Call.openInterest])</f>
        <v>169383</v>
      </c>
      <c r="W11" s="38">
        <f>SUMIF(NIFTY_Near_Expiry[Call.strikePrice],Analysis!Z11,NIFTY_Near_Expiry[Call.pChange])</f>
        <v>-54.756511891279722</v>
      </c>
      <c r="X11" s="5">
        <f>SUMIF(NIFTY_Near_Expiry[Call.strikePrice],Analysis!Z11,BANKNIFTY_Near_Expiry[Call.change])</f>
        <v>-54.650000000000006</v>
      </c>
      <c r="Y11" s="5">
        <f>SUMIF(NIFTY_Near_Expiry[Call.strikePrice],Analysis!Z11,NIFTY_Near_Expiry[Call.lastPrice])</f>
        <v>79.900000000000006</v>
      </c>
      <c r="Z11" s="33">
        <f>Z10+50</f>
        <v>18700</v>
      </c>
      <c r="AA11" s="5">
        <f>SUMIF(NIFTY_Near_Expiry[Put.strikePrice],Analysis!Z11,NIFTY_Near_Expiry[Put.lastPrice])</f>
        <v>77</v>
      </c>
      <c r="AB11" s="5">
        <f>SUMIF(NIFTY_Near_Expiry[Put.strikePrice],Analysis!Z11,NIFTY_Near_Expiry[Put.change])</f>
        <v>33</v>
      </c>
      <c r="AC11" s="38">
        <f>SUMIF(NIFTY_Near_Expiry[Put.strikePrice],Analysis!Z11,NIFTY_Near_Expiry[Put.pChange])</f>
        <v>75</v>
      </c>
      <c r="AD11" s="5">
        <f>SUMIF(NIFTY_Near_Expiry[Put.strikePrice],Analysis!Z11,NIFTY_Near_Expiry[Put.openInterest])</f>
        <v>150118</v>
      </c>
      <c r="AE11" s="5">
        <f>SUMIF(NIFTY_Near_Expiry[Put.strikePrice],Analysis!Z11,NIFTY_Near_Expiry[Put.totalTradedVolume])</f>
        <v>5713832</v>
      </c>
      <c r="AF11" s="20">
        <f>SUMIF(NIFTY_Near_Expiry[Put.strikePrice],Analysis!Z11,NIFTY_Near_Expiry[Put.changeinOpenInterest])</f>
        <v>59213</v>
      </c>
      <c r="AG11" s="29">
        <f>SUMIF(NIFTY_Near_Expiry[Put.strikePrice],Analysis!Z11,NIFTY_Near_Expiry[Put.pchangeinOpenInterest])</f>
        <v>65.137231175402889</v>
      </c>
    </row>
    <row r="12" spans="2:33" ht="15.75" thickBot="1" x14ac:dyDescent="0.3">
      <c r="S12" s="30">
        <f>SUMIF(NIFTY_Near_Expiry[Call.strikePrice],Analysis!Z12,NIFTY_Near_Expiry[Call.pchangeinOpenInterest])</f>
        <v>389.38734030197446</v>
      </c>
      <c r="T12" s="23">
        <f>SUMIF(NIFTY_Near_Expiry[Call.strikePrice],Analysis!Z12,NIFTY_Near_Expiry[Call.changeinOpenInterest])</f>
        <v>80463</v>
      </c>
      <c r="U12" s="5">
        <f>SUMIF(NIFTY_Near_Expiry[Call.strikePrice],Analysis!Z12,NIFTY_Near_Expiry[Call.totalTradedVolume])</f>
        <v>2763969</v>
      </c>
      <c r="V12" s="5">
        <f>SUMIF(NIFTY_Near_Expiry[Call.strikePrice],Analysis!Z12,NIFTY_Near_Expiry[Call.openInterest])</f>
        <v>101127</v>
      </c>
      <c r="W12" s="38">
        <f>SUMIF(NIFTY_Near_Expiry[Call.strikePrice],Analysis!Z12,NIFTY_Near_Expiry[Call.pChange])</f>
        <v>-59.603820304209407</v>
      </c>
      <c r="X12" s="5">
        <f>SUMIF(NIFTY_Near_Expiry[Call.strikePrice],Analysis!Z12,BANKNIFTY_Near_Expiry[Call.change])</f>
        <v>-46.849999999999994</v>
      </c>
      <c r="Y12" s="5">
        <f>SUMIF(NIFTY_Near_Expiry[Call.strikePrice],Analysis!Z12,NIFTY_Near_Expiry[Call.lastPrice])</f>
        <v>57.1</v>
      </c>
      <c r="Z12" s="15">
        <f t="shared" ref="Z12:Z15" si="1">Z11+50</f>
        <v>18750</v>
      </c>
      <c r="AA12" s="5">
        <f>SUMIF(NIFTY_Near_Expiry[Put.strikePrice],Analysis!Z12,NIFTY_Near_Expiry[Put.lastPrice])</f>
        <v>104.1</v>
      </c>
      <c r="AB12" s="5">
        <f>SUMIF(NIFTY_Near_Expiry[Put.strikePrice],Analysis!Z12,NIFTY_Near_Expiry[Put.change])</f>
        <v>45.45</v>
      </c>
      <c r="AC12" s="38">
        <f>SUMIF(NIFTY_Near_Expiry[Put.strikePrice],Analysis!Z12,NIFTY_Near_Expiry[Put.pChange])</f>
        <v>77.49360613810741</v>
      </c>
      <c r="AD12" s="5">
        <f>SUMIF(NIFTY_Near_Expiry[Put.strikePrice],Analysis!Z12,NIFTY_Near_Expiry[Put.openInterest])</f>
        <v>39138</v>
      </c>
      <c r="AE12" s="5">
        <f>SUMIF(NIFTY_Near_Expiry[Put.strikePrice],Analysis!Z12,NIFTY_Near_Expiry[Put.totalTradedVolume])</f>
        <v>2271072</v>
      </c>
      <c r="AF12" s="20">
        <f>SUMIF(NIFTY_Near_Expiry[Put.strikePrice],Analysis!Z12,NIFTY_Near_Expiry[Put.changeinOpenInterest])</f>
        <v>-295</v>
      </c>
      <c r="AG12" s="29">
        <f>SUMIF(NIFTY_Near_Expiry[Put.strikePrice],Analysis!Z12,NIFTY_Near_Expiry[Put.pchangeinOpenInterest])</f>
        <v>-0.74810437958055431</v>
      </c>
    </row>
    <row r="13" spans="2:33" ht="15.75" thickBot="1" x14ac:dyDescent="0.3">
      <c r="C13" s="66" t="s">
        <v>34</v>
      </c>
      <c r="D13" s="67"/>
      <c r="E13" s="68"/>
      <c r="F13" s="10" t="s">
        <v>30</v>
      </c>
      <c r="J13" s="66" t="s">
        <v>35</v>
      </c>
      <c r="K13" s="67"/>
      <c r="L13" s="67"/>
      <c r="M13" s="67"/>
      <c r="N13" s="68"/>
      <c r="O13" s="10" t="s">
        <v>30</v>
      </c>
      <c r="S13" s="30">
        <f>SUMIF(NIFTY_Near_Expiry[Call.strikePrice],Analysis!Z13,NIFTY_Near_Expiry[Call.pchangeinOpenInterest])</f>
        <v>37.19112431707083</v>
      </c>
      <c r="T13" s="23">
        <f>SUMIF(NIFTY_Near_Expiry[Call.strikePrice],Analysis!Z13,NIFTY_Near_Expiry[Call.changeinOpenInterest])</f>
        <v>77603</v>
      </c>
      <c r="U13" s="5">
        <f>SUMIF(NIFTY_Near_Expiry[Call.strikePrice],Analysis!Z13,NIFTY_Near_Expiry[Call.totalTradedVolume])</f>
        <v>3546971</v>
      </c>
      <c r="V13" s="5">
        <f>SUMIF(NIFTY_Near_Expiry[Call.strikePrice],Analysis!Z13,NIFTY_Near_Expiry[Call.openInterest])</f>
        <v>286263</v>
      </c>
      <c r="W13" s="38">
        <f>SUMIF(NIFTY_Near_Expiry[Call.strikePrice],Analysis!Z13,NIFTY_Near_Expiry[Call.pChange])</f>
        <v>-64.486411791801018</v>
      </c>
      <c r="X13" s="5">
        <f>SUMIF(NIFTY_Near_Expiry[Call.strikePrice],Analysis!Z13,BANKNIFTY_Near_Expiry[Call.change])</f>
        <v>-37.450000000000003</v>
      </c>
      <c r="Y13" s="5">
        <f>SUMIF(NIFTY_Near_Expiry[Call.strikePrice],Analysis!Z13,NIFTY_Near_Expiry[Call.lastPrice])</f>
        <v>38.549999999999997</v>
      </c>
      <c r="Z13" s="15">
        <f t="shared" si="1"/>
        <v>18800</v>
      </c>
      <c r="AA13" s="5">
        <f>SUMIF(NIFTY_Near_Expiry[Put.strikePrice],Analysis!Z13,NIFTY_Near_Expiry[Put.lastPrice])</f>
        <v>136</v>
      </c>
      <c r="AB13" s="5">
        <f>SUMIF(NIFTY_Near_Expiry[Put.strikePrice],Analysis!Z13,NIFTY_Near_Expiry[Put.change])</f>
        <v>59.5</v>
      </c>
      <c r="AC13" s="38">
        <f>SUMIF(NIFTY_Near_Expiry[Put.strikePrice],Analysis!Z13,NIFTY_Near_Expiry[Put.pChange])</f>
        <v>77.777777777777786</v>
      </c>
      <c r="AD13" s="5">
        <f>SUMIF(NIFTY_Near_Expiry[Put.strikePrice],Analysis!Z13,NIFTY_Near_Expiry[Put.openInterest])</f>
        <v>151099</v>
      </c>
      <c r="AE13" s="5">
        <f>SUMIF(NIFTY_Near_Expiry[Put.strikePrice],Analysis!Z13,NIFTY_Near_Expiry[Put.totalTradedVolume])</f>
        <v>2107692</v>
      </c>
      <c r="AF13" s="20">
        <f>SUMIF(NIFTY_Near_Expiry[Put.strikePrice],Analysis!Z13,NIFTY_Near_Expiry[Put.changeinOpenInterest])</f>
        <v>-51490</v>
      </c>
      <c r="AG13" s="29">
        <f>SUMIF(NIFTY_Near_Expiry[Put.strikePrice],Analysis!Z13,NIFTY_Near_Expiry[Put.pchangeinOpenInterest])</f>
        <v>-25.415990009329231</v>
      </c>
    </row>
    <row r="14" spans="2:33" x14ac:dyDescent="0.25">
      <c r="C14" s="64" t="s">
        <v>36</v>
      </c>
      <c r="D14" s="65"/>
      <c r="E14" s="13">
        <f>MAX(E5:E11)</f>
        <v>105045</v>
      </c>
      <c r="F14" s="11">
        <f>VLOOKUP(E14,$E$5:$I$11,5,FALSE)</f>
        <v>43800</v>
      </c>
      <c r="J14" s="64" t="s">
        <v>36</v>
      </c>
      <c r="K14" s="73"/>
      <c r="L14" s="73"/>
      <c r="M14" s="65"/>
      <c r="N14" s="11">
        <f>MAX(M5:M11)</f>
        <v>153007</v>
      </c>
      <c r="O14" s="1">
        <f>SUMIF($M$5:$M$11,N14,$I$5:$I$11)</f>
        <v>43500</v>
      </c>
      <c r="S14" s="30">
        <f>SUMIF(NIFTY_Near_Expiry[Call.strikePrice],Analysis!Z14,NIFTY_Near_Expiry[Call.pchangeinOpenInterest])</f>
        <v>83.039422738472368</v>
      </c>
      <c r="T14" s="23">
        <f>SUMIF(NIFTY_Near_Expiry[Call.strikePrice],Analysis!Z14,NIFTY_Near_Expiry[Call.changeinOpenInterest])</f>
        <v>47183</v>
      </c>
      <c r="U14" s="5">
        <f>SUMIF(NIFTY_Near_Expiry[Call.strikePrice],Analysis!Z14,NIFTY_Near_Expiry[Call.totalTradedVolume])</f>
        <v>1623546</v>
      </c>
      <c r="V14" s="5">
        <f>SUMIF(NIFTY_Near_Expiry[Call.strikePrice],Analysis!Z14,NIFTY_Near_Expiry[Call.openInterest])</f>
        <v>104003</v>
      </c>
      <c r="W14" s="38">
        <f>SUMIF(NIFTY_Near_Expiry[Call.strikePrice],Analysis!Z14,NIFTY_Near_Expiry[Call.pChange])</f>
        <v>-68.324125230202583</v>
      </c>
      <c r="X14" s="5">
        <f>SUMIF(NIFTY_Near_Expiry[Call.strikePrice],Analysis!Z14,BANKNIFTY_Near_Expiry[Call.change])</f>
        <v>-30.550000000000004</v>
      </c>
      <c r="Y14" s="5">
        <f>SUMIF(NIFTY_Near_Expiry[Call.strikePrice],Analysis!Z14,NIFTY_Near_Expiry[Call.lastPrice])</f>
        <v>25.8</v>
      </c>
      <c r="Z14" s="15">
        <f t="shared" si="1"/>
        <v>18850</v>
      </c>
      <c r="AA14" s="5">
        <f>SUMIF(NIFTY_Near_Expiry[Put.strikePrice],Analysis!Z14,NIFTY_Near_Expiry[Put.lastPrice])</f>
        <v>171.85</v>
      </c>
      <c r="AB14" s="5">
        <f>SUMIF(NIFTY_Near_Expiry[Put.strikePrice],Analysis!Z14,NIFTY_Near_Expiry[Put.change])</f>
        <v>73.55</v>
      </c>
      <c r="AC14" s="38">
        <f>SUMIF(NIFTY_Near_Expiry[Put.strikePrice],Analysis!Z14,NIFTY_Near_Expiry[Put.pChange])</f>
        <v>74.821973550356049</v>
      </c>
      <c r="AD14" s="5">
        <f>SUMIF(NIFTY_Near_Expiry[Put.strikePrice],Analysis!Z14,NIFTY_Near_Expiry[Put.openInterest])</f>
        <v>34420</v>
      </c>
      <c r="AE14" s="5">
        <f>SUMIF(NIFTY_Near_Expiry[Put.strikePrice],Analysis!Z14,NIFTY_Near_Expiry[Put.totalTradedVolume])</f>
        <v>393436</v>
      </c>
      <c r="AF14" s="20">
        <f>SUMIF(NIFTY_Near_Expiry[Put.strikePrice],Analysis!Z14,NIFTY_Near_Expiry[Put.changeinOpenInterest])</f>
        <v>-6284</v>
      </c>
      <c r="AG14" s="29">
        <f>SUMIF(NIFTY_Near_Expiry[Put.strikePrice],Analysis!Z14,NIFTY_Near_Expiry[Put.pchangeinOpenInterest])</f>
        <v>-15.438286163522012</v>
      </c>
    </row>
    <row r="15" spans="2:33" ht="15.75" thickBot="1" x14ac:dyDescent="0.3">
      <c r="C15" s="71" t="s">
        <v>37</v>
      </c>
      <c r="D15" s="72"/>
      <c r="E15" s="27">
        <f>MAX(C5:C11)</f>
        <v>52959</v>
      </c>
      <c r="F15" s="28">
        <f>VLOOKUP(E15,$C$5:$I$11,7,FALSE)</f>
        <v>43800</v>
      </c>
      <c r="J15" s="69" t="s">
        <v>37</v>
      </c>
      <c r="K15" s="62"/>
      <c r="L15" s="62"/>
      <c r="M15" s="70"/>
      <c r="N15" s="12">
        <f>MAX(O5:O11)</f>
        <v>71854</v>
      </c>
      <c r="O15" s="14">
        <f>SUMIF($O$5:$O$11,N15,$I$5:$I$11)</f>
        <v>43500</v>
      </c>
      <c r="S15" s="30">
        <f>SUMIF(NIFTY_Near_Expiry[Call.strikePrice],Analysis!Z15,NIFTY_Near_Expiry[Call.pchangeinOpenInterest])</f>
        <v>24.81377961009014</v>
      </c>
      <c r="T15" s="23">
        <f>SUMIF(NIFTY_Near_Expiry[Call.strikePrice],Analysis!Z15,NIFTY_Near_Expiry[Call.changeinOpenInterest])</f>
        <v>35511</v>
      </c>
      <c r="U15" s="5">
        <f>SUMIF(NIFTY_Near_Expiry[Call.strikePrice],Analysis!Z15,NIFTY_Near_Expiry[Call.totalTradedVolume])</f>
        <v>2036806</v>
      </c>
      <c r="V15" s="5">
        <f>SUMIF(NIFTY_Near_Expiry[Call.strikePrice],Analysis!Z15,NIFTY_Near_Expiry[Call.openInterest])</f>
        <v>178621</v>
      </c>
      <c r="W15" s="38">
        <f>SUMIF(NIFTY_Near_Expiry[Call.strikePrice],Analysis!Z15,NIFTY_Near_Expiry[Call.pChange])</f>
        <v>-72.269624573378849</v>
      </c>
      <c r="X15" s="5">
        <f>SUMIF(NIFTY_Near_Expiry[Call.strikePrice],Analysis!Z15,BANKNIFTY_Near_Expiry[Call.change])</f>
        <v>-21.65</v>
      </c>
      <c r="Y15" s="5">
        <f>SUMIF(NIFTY_Near_Expiry[Call.strikePrice],Analysis!Z15,NIFTY_Near_Expiry[Call.lastPrice])</f>
        <v>16.25</v>
      </c>
      <c r="Z15" s="34">
        <f t="shared" si="1"/>
        <v>18900</v>
      </c>
      <c r="AA15" s="5">
        <f>SUMIF(NIFTY_Near_Expiry[Put.strikePrice],Analysis!Z15,NIFTY_Near_Expiry[Put.lastPrice])</f>
        <v>212.75</v>
      </c>
      <c r="AB15" s="5">
        <f>SUMIF(NIFTY_Near_Expiry[Put.strikePrice],Analysis!Z15,NIFTY_Near_Expiry[Put.change])</f>
        <v>86.9</v>
      </c>
      <c r="AC15" s="38">
        <f>SUMIF(NIFTY_Near_Expiry[Put.strikePrice],Analysis!Z15,NIFTY_Near_Expiry[Put.pChange])</f>
        <v>69.05045689312675</v>
      </c>
      <c r="AD15" s="5">
        <f>SUMIF(NIFTY_Near_Expiry[Put.strikePrice],Analysis!Z15,NIFTY_Near_Expiry[Put.openInterest])</f>
        <v>61179</v>
      </c>
      <c r="AE15" s="5">
        <f>SUMIF(NIFTY_Near_Expiry[Put.strikePrice],Analysis!Z15,NIFTY_Near_Expiry[Put.totalTradedVolume])</f>
        <v>545880</v>
      </c>
      <c r="AF15" s="20">
        <f>SUMIF(NIFTY_Near_Expiry[Put.strikePrice],Analysis!Z15,NIFTY_Near_Expiry[Put.changeinOpenInterest])</f>
        <v>-18151</v>
      </c>
      <c r="AG15" s="29">
        <f>SUMIF(NIFTY_Near_Expiry[Put.strikePrice],Analysis!Z15,NIFTY_Near_Expiry[Put.pchangeinOpenInterest])</f>
        <v>-22.880373124921213</v>
      </c>
    </row>
    <row r="16" spans="2:33" ht="15.75" thickBot="1" x14ac:dyDescent="0.3">
      <c r="C16" s="61" t="s">
        <v>41</v>
      </c>
      <c r="D16" s="62"/>
      <c r="E16" s="35">
        <f>MAX(B5:B11)</f>
        <v>472.34982332155482</v>
      </c>
      <c r="F16" s="12">
        <f>VLOOKUP(E16,$B$5:$I$11,8,FALSE)</f>
        <v>43400</v>
      </c>
      <c r="J16" s="61" t="s">
        <v>41</v>
      </c>
      <c r="K16" s="62"/>
      <c r="L16" s="62"/>
      <c r="M16" s="62"/>
      <c r="N16" s="35">
        <f>MAX(P5:P11)</f>
        <v>234.53864123029004</v>
      </c>
      <c r="O16" s="12">
        <f>SUMIF($P$5:$P$11,N16,$I$5:$I$11)</f>
        <v>43600</v>
      </c>
    </row>
    <row r="17" spans="2:33" ht="15.75" thickBot="1" x14ac:dyDescent="0.3">
      <c r="T17" s="66" t="s">
        <v>34</v>
      </c>
      <c r="U17" s="67"/>
      <c r="V17" s="68"/>
      <c r="W17" s="10" t="s">
        <v>30</v>
      </c>
      <c r="AA17" s="66" t="s">
        <v>35</v>
      </c>
      <c r="AB17" s="67"/>
      <c r="AC17" s="67"/>
      <c r="AD17" s="67"/>
      <c r="AE17" s="68"/>
      <c r="AF17" s="10" t="s">
        <v>30</v>
      </c>
    </row>
    <row r="18" spans="2:33" x14ac:dyDescent="0.25">
      <c r="T18" s="64" t="s">
        <v>36</v>
      </c>
      <c r="U18" s="65"/>
      <c r="V18" s="13">
        <f>MAX(V9:V15)</f>
        <v>286263</v>
      </c>
      <c r="W18" s="11">
        <f>VLOOKUP(V18,$V$5:$Z$15,5,FALSE)</f>
        <v>18800</v>
      </c>
      <c r="AA18" s="64" t="s">
        <v>36</v>
      </c>
      <c r="AB18" s="73"/>
      <c r="AC18" s="73"/>
      <c r="AD18" s="65"/>
      <c r="AE18" s="11">
        <f>MAX(AD9:AD15)</f>
        <v>151099</v>
      </c>
      <c r="AF18" s="1">
        <f>SUMIF($AD$5:$AD$15,AE18,$Z$5:$Z$15)</f>
        <v>18800</v>
      </c>
    </row>
    <row r="19" spans="2:33" ht="15.75" thickBot="1" x14ac:dyDescent="0.3">
      <c r="T19" s="69" t="s">
        <v>37</v>
      </c>
      <c r="U19" s="70"/>
      <c r="V19" s="14">
        <f>MAX(T9:T15)</f>
        <v>130766</v>
      </c>
      <c r="W19" s="12">
        <f>VLOOKUP(V19,$T$5:$Z$15,7,FALSE)</f>
        <v>18700</v>
      </c>
      <c r="AA19" s="69" t="s">
        <v>37</v>
      </c>
      <c r="AB19" s="62"/>
      <c r="AC19" s="62"/>
      <c r="AD19" s="70"/>
      <c r="AE19" s="12">
        <f>MAX(AF9:AF15)</f>
        <v>59213</v>
      </c>
      <c r="AF19" s="14">
        <f>SUMIF($AF$5:$AF$15,AE19,$Z$5:$Z$15)</f>
        <v>18700</v>
      </c>
    </row>
    <row r="20" spans="2:33" ht="15.75" thickBot="1" x14ac:dyDescent="0.3">
      <c r="T20" s="61" t="s">
        <v>41</v>
      </c>
      <c r="U20" s="62"/>
      <c r="V20" s="35">
        <f>MAX(S5:S15)</f>
        <v>815.32605097649787</v>
      </c>
      <c r="W20" s="12">
        <f>VLOOKUP(V20,$S$5:$Z$15,8,FALSE)</f>
        <v>18650</v>
      </c>
      <c r="AA20" s="61" t="s">
        <v>41</v>
      </c>
      <c r="AB20" s="62"/>
      <c r="AC20" s="62"/>
      <c r="AD20" s="62"/>
      <c r="AE20" s="35">
        <f>MAX(AG5:AG15)</f>
        <v>193.11553873552984</v>
      </c>
      <c r="AF20" s="12">
        <f>SUMIF($AG$5:$AG$15,AE20,$Z$5:$Z$15)</f>
        <v>18450</v>
      </c>
    </row>
    <row r="21" spans="2:33" ht="19.5" thickBot="1" x14ac:dyDescent="0.35">
      <c r="C21" s="74" t="s">
        <v>31</v>
      </c>
      <c r="D21" s="75"/>
      <c r="H21" s="3" t="s">
        <v>32</v>
      </c>
      <c r="I21" s="7">
        <f>'BANKNIFTY Next Expiry'!N2</f>
        <v>43622.9</v>
      </c>
      <c r="L21" t="s">
        <v>46</v>
      </c>
      <c r="M21" s="17" t="s">
        <v>42</v>
      </c>
      <c r="N21" s="15" t="str">
        <f>'BANKNIFTY Next Expiry'!B2</f>
        <v>06-Jul-2023</v>
      </c>
    </row>
    <row r="22" spans="2:33" ht="15.75" thickBot="1" x14ac:dyDescent="0.3">
      <c r="C22" s="77" t="s">
        <v>34</v>
      </c>
      <c r="D22" s="78"/>
      <c r="E22" s="62"/>
      <c r="F22" s="78"/>
      <c r="G22" s="78"/>
      <c r="H22" s="78"/>
      <c r="I22" s="9"/>
      <c r="J22" s="76" t="s">
        <v>35</v>
      </c>
      <c r="K22" s="76"/>
      <c r="L22" s="76"/>
      <c r="M22" s="63"/>
      <c r="N22" s="63"/>
      <c r="O22" s="63"/>
    </row>
    <row r="23" spans="2:33" ht="15.75" thickBot="1" x14ac:dyDescent="0.3">
      <c r="B23" s="6" t="s">
        <v>38</v>
      </c>
      <c r="C23" s="25" t="s">
        <v>27</v>
      </c>
      <c r="D23" s="6" t="s">
        <v>26</v>
      </c>
      <c r="E23" s="6" t="s">
        <v>28</v>
      </c>
      <c r="F23" s="6" t="s">
        <v>44</v>
      </c>
      <c r="G23" s="6" t="s">
        <v>43</v>
      </c>
      <c r="H23" s="6" t="s">
        <v>29</v>
      </c>
      <c r="I23" s="6" t="s">
        <v>30</v>
      </c>
      <c r="J23" s="6" t="s">
        <v>29</v>
      </c>
      <c r="K23" s="6" t="s">
        <v>43</v>
      </c>
      <c r="L23" s="6" t="s">
        <v>44</v>
      </c>
      <c r="M23" s="6" t="s">
        <v>28</v>
      </c>
      <c r="N23" s="6" t="s">
        <v>26</v>
      </c>
      <c r="O23" s="6" t="s">
        <v>27</v>
      </c>
      <c r="P23" s="18" t="s">
        <v>38</v>
      </c>
    </row>
    <row r="24" spans="2:33" ht="19.5" thickBot="1" x14ac:dyDescent="0.35">
      <c r="B24" s="44">
        <f>SUMIF('BANKNIFTY Next Expiry'!$C$2:$C$76,Analysis!I24,'BANKNIFTY Next Expiry'!$H$2:$H$76)</f>
        <v>208.0568720379147</v>
      </c>
      <c r="C24" s="3">
        <f>SUMIF('BANKNIFTY Next Expiry'!$C$2:$C$76,Analysis!I24,'BANKNIFTY Next Expiry'!$G$2:$G$76)</f>
        <v>439</v>
      </c>
      <c r="D24" s="3">
        <f>SUMIF('BANKNIFTY Next Expiry'!$C$2:$C$76,Analysis!I24,'BANKNIFTY Next Expiry'!$I$2:$I$76)</f>
        <v>3390</v>
      </c>
      <c r="E24" s="3">
        <f>SUMIF('BANKNIFTY Next Expiry'!$C$2:$C$76,Analysis!I24,'BANKNIFTY Next Expiry'!$F$2:$F$76)</f>
        <v>650</v>
      </c>
      <c r="F24" s="39">
        <f>SUMIF('BANKNIFTY Next Expiry'!$C$2:$C$76,Analysis!I24,'BANKNIFTY Next Expiry'!$M$2:$M$76)</f>
        <v>-14.369742151699604</v>
      </c>
      <c r="G24" s="3">
        <f>SUMIF('BANKNIFTY Next Expiry'!$C$2:$C$76,Analysis!I24,'BANKNIFTY Next Expiry'!$L$2:$L$76)</f>
        <v>-105.04999999999995</v>
      </c>
      <c r="H24" s="3">
        <f>SUMIF('BANKNIFTY Next Expiry'!$C$2:$C$76,Analysis!I24,'BANKNIFTY Next Expiry'!$K$2:$K$76)</f>
        <v>626</v>
      </c>
      <c r="I24" s="43">
        <f>I25-100</f>
        <v>43300</v>
      </c>
      <c r="J24" s="3">
        <f>SUMIF('BANKNIFTY Next Expiry'!$O$2:$O$76,Analysis!I24,'BANKNIFTY Next Expiry'!$W$2:$W$76)</f>
        <v>201.25</v>
      </c>
      <c r="K24" s="3">
        <f>SUMIF('BANKNIFTY Next Expiry'!$O$2:$O$76,Analysis!I24,'BANKNIFTY Next Expiry'!$X$2:$X$76)</f>
        <v>-5.0999999999999943</v>
      </c>
      <c r="L24" s="39">
        <f>SUMIF('BANKNIFTY Next Expiry'!$O$2:$O$76,Analysis!I24,'BANKNIFTY Next Expiry'!$Y$2:$Y$76)</f>
        <v>-2.4715289556578601</v>
      </c>
      <c r="M24" s="3">
        <f>SUMIF('BANKNIFTY Next Expiry'!$O$2:$O$76,Analysis!I24,'BANKNIFTY Next Expiry'!$R$2:$R$76)</f>
        <v>2677</v>
      </c>
      <c r="N24" s="3">
        <f>SUMIF('BANKNIFTY Next Expiry'!$O$2:$O$76,Analysis!I24,'BANKNIFTY Next Expiry'!$U$2:$U$76)</f>
        <v>20332</v>
      </c>
      <c r="O24" s="3">
        <f>SUMIF('BANKNIFTY Next Expiry'!$O$2:$O$76,Analysis!I24,'BANKNIFTY Next Expiry'!$S$2:$S$76)</f>
        <v>745</v>
      </c>
      <c r="P24" s="51">
        <f>SUMIF('BANKNIFTY Next Expiry'!$O$2:$O$76,Analysis!I24,'BANKNIFTY Next Expiry'!$T$2:$T$76)</f>
        <v>38.561076604554863</v>
      </c>
      <c r="T24" s="74" t="s">
        <v>33</v>
      </c>
      <c r="U24" s="75"/>
      <c r="X24" t="s">
        <v>46</v>
      </c>
      <c r="Y24" s="3" t="s">
        <v>32</v>
      </c>
      <c r="Z24" s="8">
        <f>'NIFTY Next Expiry'!N69</f>
        <v>18665.5</v>
      </c>
      <c r="AD24" s="17" t="s">
        <v>42</v>
      </c>
      <c r="AE24" s="15" t="str">
        <f>'NIFTY Next Expiry'!B69</f>
        <v>06-Jul-2023</v>
      </c>
    </row>
    <row r="25" spans="2:33" ht="15.75" thickBot="1" x14ac:dyDescent="0.3">
      <c r="B25" s="44">
        <f>SUMIF('BANKNIFTY Next Expiry'!$C$2:$C$76,Analysis!I25,'BANKNIFTY Next Expiry'!$H$2:$H$76)</f>
        <v>266.66666666666669</v>
      </c>
      <c r="C25" s="3">
        <f>SUMIF('BANKNIFTY Next Expiry'!$C$2:$C$76,Analysis!I25,'BANKNIFTY Next Expiry'!$G$2:$G$76)</f>
        <v>688</v>
      </c>
      <c r="D25" s="3">
        <f>SUMIF('BANKNIFTY Next Expiry'!$C$2:$C$76,Analysis!I25,'BANKNIFTY Next Expiry'!$I$2:$I$76)</f>
        <v>8751</v>
      </c>
      <c r="E25" s="3">
        <f>SUMIF('BANKNIFTY Next Expiry'!$C$2:$C$76,Analysis!I25,'BANKNIFTY Next Expiry'!$F$2:$F$76)</f>
        <v>946</v>
      </c>
      <c r="F25" s="39">
        <f>SUMIF('BANKNIFTY Next Expiry'!$C$2:$C$76,Analysis!I25,'BANKNIFTY Next Expiry'!$M$2:$M$76)</f>
        <v>-15.788680382847236</v>
      </c>
      <c r="G25" s="3">
        <f>SUMIF('BANKNIFTY Next Expiry'!$C$2:$C$76,Analysis!I25,'BANKNIFTY Next Expiry'!$L$2:$L$76)</f>
        <v>-104.75</v>
      </c>
      <c r="H25" s="3">
        <f>SUMIF('BANKNIFTY Next Expiry'!$C$2:$C$76,Analysis!I25,'BANKNIFTY Next Expiry'!$K$2:$K$76)</f>
        <v>558.70000000000005</v>
      </c>
      <c r="I25" s="15">
        <f>I26-100</f>
        <v>43400</v>
      </c>
      <c r="J25" s="3">
        <f>SUMIF('BANKNIFTY Next Expiry'!$O$2:$O$76,Analysis!I25,'BANKNIFTY Next Expiry'!$W$2:$W$76)</f>
        <v>231.55</v>
      </c>
      <c r="K25" s="3">
        <f>SUMIF('BANKNIFTY Next Expiry'!$O$2:$O$76,Analysis!I25,'BANKNIFTY Next Expiry'!$X$2:$X$76)</f>
        <v>-6.0499999999999829</v>
      </c>
      <c r="L25" s="39">
        <f>SUMIF('BANKNIFTY Next Expiry'!$O$2:$O$76,Analysis!I25,'BANKNIFTY Next Expiry'!$Y$2:$Y$76)</f>
        <v>-2.5462962962962892</v>
      </c>
      <c r="M25" s="3">
        <f>SUMIF('BANKNIFTY Next Expiry'!$O$2:$O$76,Analysis!I25,'BANKNIFTY Next Expiry'!$R$2:$R$76)</f>
        <v>2621</v>
      </c>
      <c r="N25" s="3">
        <f>SUMIF('BANKNIFTY Next Expiry'!$O$2:$O$76,Analysis!I25,'BANKNIFTY Next Expiry'!$U$2:$U$76)</f>
        <v>43022</v>
      </c>
      <c r="O25" s="3">
        <f>SUMIF('BANKNIFTY Next Expiry'!$O$2:$O$76,Analysis!I25,'BANKNIFTY Next Expiry'!$S$2:$S$76)</f>
        <v>1463</v>
      </c>
      <c r="P25" s="52">
        <f>SUMIF('BANKNIFTY Next Expiry'!$O$2:$O$76,Analysis!I25,'BANKNIFTY Next Expiry'!$T$2:$T$76)</f>
        <v>126.3385146804836</v>
      </c>
      <c r="T25" s="79" t="s">
        <v>34</v>
      </c>
      <c r="U25" s="79"/>
      <c r="V25" s="63"/>
      <c r="W25" s="79"/>
      <c r="X25" s="79"/>
      <c r="Y25" s="79"/>
      <c r="Z25" s="2"/>
      <c r="AA25" s="63" t="s">
        <v>35</v>
      </c>
      <c r="AB25" s="63"/>
      <c r="AC25" s="63"/>
      <c r="AD25" s="63"/>
      <c r="AE25" s="63"/>
      <c r="AF25" s="63"/>
    </row>
    <row r="26" spans="2:33" ht="15.75" thickBot="1" x14ac:dyDescent="0.3">
      <c r="B26" s="44">
        <f>SUMIF('BANKNIFTY Next Expiry'!$C$2:$C$76,Analysis!I26,'BANKNIFTY Next Expiry'!$H$2:$H$76)</f>
        <v>123.82978723404256</v>
      </c>
      <c r="C26" s="3">
        <f>SUMIF('BANKNIFTY Next Expiry'!$C$2:$C$76,Analysis!I26,'BANKNIFTY Next Expiry'!$G$2:$G$76)</f>
        <v>2328</v>
      </c>
      <c r="D26" s="3">
        <f>SUMIF('BANKNIFTY Next Expiry'!$C$2:$C$76,Analysis!I26,'BANKNIFTY Next Expiry'!$I$2:$I$76)</f>
        <v>49773</v>
      </c>
      <c r="E26" s="3">
        <f>SUMIF('BANKNIFTY Next Expiry'!$C$2:$C$76,Analysis!I26,'BANKNIFTY Next Expiry'!$F$2:$F$76)</f>
        <v>4208</v>
      </c>
      <c r="F26" s="39">
        <f>SUMIF('BANKNIFTY Next Expiry'!$C$2:$C$76,Analysis!I26,'BANKNIFTY Next Expiry'!$M$2:$M$76)</f>
        <v>-16.273365474075952</v>
      </c>
      <c r="G26" s="3">
        <f>SUMIF('BANKNIFTY Next Expiry'!$C$2:$C$76,Analysis!I26,'BANKNIFTY Next Expiry'!$L$2:$L$76)</f>
        <v>-96.2</v>
      </c>
      <c r="H26" s="3">
        <f>SUMIF('BANKNIFTY Next Expiry'!$C$2:$C$76,Analysis!I26,'BANKNIFTY Next Expiry'!$K$2:$K$76)</f>
        <v>494.95</v>
      </c>
      <c r="I26" s="32">
        <f>I27-100</f>
        <v>43500</v>
      </c>
      <c r="J26" s="3">
        <f>SUMIF('BANKNIFTY Next Expiry'!$O$2:$O$76,Analysis!I26,'BANKNIFTY Next Expiry'!$W$2:$W$76)</f>
        <v>267.35000000000002</v>
      </c>
      <c r="K26" s="3">
        <f>SUMIF('BANKNIFTY Next Expiry'!$O$2:$O$76,Analysis!I26,'BANKNIFTY Next Expiry'!$X$2:$X$76)</f>
        <v>-3</v>
      </c>
      <c r="L26" s="39">
        <f>SUMIF('BANKNIFTY Next Expiry'!$O$2:$O$76,Analysis!I26,'BANKNIFTY Next Expiry'!$Y$2:$Y$76)</f>
        <v>-1.1096726465692619</v>
      </c>
      <c r="M26" s="3">
        <f>SUMIF('BANKNIFTY Next Expiry'!$O$2:$O$76,Analysis!I26,'BANKNIFTY Next Expiry'!$R$2:$R$76)</f>
        <v>9106</v>
      </c>
      <c r="N26" s="3">
        <f>SUMIF('BANKNIFTY Next Expiry'!$O$2:$O$76,Analysis!I26,'BANKNIFTY Next Expiry'!$U$2:$U$76)</f>
        <v>122230</v>
      </c>
      <c r="O26" s="3">
        <f>SUMIF('BANKNIFTY Next Expiry'!$O$2:$O$76,Analysis!I26,'BANKNIFTY Next Expiry'!$S$2:$S$76)</f>
        <v>6051</v>
      </c>
      <c r="P26" s="52">
        <f>SUMIF('BANKNIFTY Next Expiry'!$O$2:$O$76,Analysis!I26,'BANKNIFTY Next Expiry'!$T$2:$T$76)</f>
        <v>198.06873977086744</v>
      </c>
      <c r="S26" s="6" t="s">
        <v>38</v>
      </c>
      <c r="T26" s="25" t="s">
        <v>27</v>
      </c>
      <c r="U26" s="6" t="s">
        <v>26</v>
      </c>
      <c r="V26" s="6" t="s">
        <v>28</v>
      </c>
      <c r="W26" s="6" t="s">
        <v>44</v>
      </c>
      <c r="X26" s="6" t="s">
        <v>43</v>
      </c>
      <c r="Y26" s="6" t="s">
        <v>29</v>
      </c>
      <c r="Z26" s="6" t="s">
        <v>30</v>
      </c>
      <c r="AA26" s="6" t="s">
        <v>29</v>
      </c>
      <c r="AB26" s="6" t="s">
        <v>43</v>
      </c>
      <c r="AC26" s="6" t="s">
        <v>44</v>
      </c>
      <c r="AD26" s="6" t="s">
        <v>28</v>
      </c>
      <c r="AE26" s="6" t="s">
        <v>26</v>
      </c>
      <c r="AF26" s="26" t="s">
        <v>27</v>
      </c>
      <c r="AG26" s="18" t="s">
        <v>38</v>
      </c>
    </row>
    <row r="27" spans="2:33" ht="15.75" thickBot="1" x14ac:dyDescent="0.3">
      <c r="B27" s="44">
        <f>SUMIF('BANKNIFTY Next Expiry'!$C$2:$C$76,Analysis!I27,'BANKNIFTY Next Expiry'!$H$2:$H$76)</f>
        <v>353.81944444444446</v>
      </c>
      <c r="C27" s="3">
        <f>SUMIF('BANKNIFTY Next Expiry'!$C$2:$C$76,Analysis!I27,'BANKNIFTY Next Expiry'!$G$2:$G$76)</f>
        <v>2038</v>
      </c>
      <c r="D27" s="3">
        <f>SUMIF('BANKNIFTY Next Expiry'!$C$2:$C$76,Analysis!I27,'BANKNIFTY Next Expiry'!$I$2:$I$76)</f>
        <v>68688</v>
      </c>
      <c r="E27" s="3">
        <f>SUMIF('BANKNIFTY Next Expiry'!$C$2:$C$76,Analysis!I27,'BANKNIFTY Next Expiry'!$F$2:$F$76)</f>
        <v>2614</v>
      </c>
      <c r="F27" s="39">
        <f>SUMIF('BANKNIFTY Next Expiry'!$C$2:$C$76,Analysis!I27,'BANKNIFTY Next Expiry'!$M$2:$M$76)</f>
        <v>-17.804716355715513</v>
      </c>
      <c r="G27" s="3">
        <f>SUMIF('BANKNIFTY Next Expiry'!$C$2:$C$76,Analysis!I27,'BANKNIFTY Next Expiry'!$L$2:$L$76)</f>
        <v>-94.000000000000057</v>
      </c>
      <c r="H27" s="48">
        <f>SUMIF('BANKNIFTY Next Expiry'!$C$2:$C$76,Analysis!I27,'BANKNIFTY Next Expiry'!$K$2:$K$76)</f>
        <v>433.95</v>
      </c>
      <c r="I27" s="16">
        <f>ROUND('BANKNIFTY Next Expiry'!N2/100,0)*100</f>
        <v>43600</v>
      </c>
      <c r="J27" s="49">
        <f>SUMIF('BANKNIFTY Next Expiry'!$O$2:$O$76,Analysis!I27,'BANKNIFTY Next Expiry'!$W$2:$W$76)</f>
        <v>310.5</v>
      </c>
      <c r="K27" s="3">
        <f>SUMIF('BANKNIFTY Next Expiry'!$O$2:$O$76,Analysis!I27,'BANKNIFTY Next Expiry'!$X$2:$X$76)</f>
        <v>1.8000000000000114</v>
      </c>
      <c r="L27" s="39">
        <f>SUMIF('BANKNIFTY Next Expiry'!$O$2:$O$76,Analysis!I27,'BANKNIFTY Next Expiry'!$Y$2:$Y$76)</f>
        <v>0.58309037900875005</v>
      </c>
      <c r="M27" s="3">
        <f>SUMIF('BANKNIFTY Next Expiry'!$O$2:$O$76,Analysis!I27,'BANKNIFTY Next Expiry'!$R$2:$R$76)</f>
        <v>4393</v>
      </c>
      <c r="N27" s="3">
        <f>SUMIF('BANKNIFTY Next Expiry'!$O$2:$O$76,Analysis!I27,'BANKNIFTY Next Expiry'!$U$2:$U$76)</f>
        <v>116048</v>
      </c>
      <c r="O27" s="3">
        <f>SUMIF('BANKNIFTY Next Expiry'!$O$2:$O$76,Analysis!I27,'BANKNIFTY Next Expiry'!$S$2:$S$76)</f>
        <v>3645</v>
      </c>
      <c r="P27" s="52">
        <f>SUMIF('BANKNIFTY Next Expiry'!$O$2:$O$76,Analysis!I27,'BANKNIFTY Next Expiry'!$T$2:$T$76)</f>
        <v>487.29946524064172</v>
      </c>
      <c r="S27" s="30">
        <f>SUMIF('NIFTY Next Expiry'!$O$2:$O$69,Analysis!Z27,'NIFTY Next Expiry'!$T$2:$T$69)</f>
        <v>130.64516129032259</v>
      </c>
      <c r="T27" s="23">
        <f>SUMIF('NIFTY Next Expiry'!$O$2:$O$69,Analysis!Z27,'NIFTY Next Expiry'!$S$2:$S$69)</f>
        <v>162</v>
      </c>
      <c r="U27" s="5">
        <f>SUMIF('NIFTY Next Expiry'!$O$2:$O$69,Analysis!Z27,'NIFTY Next Expiry'!$U$2:$U$69)</f>
        <v>1141</v>
      </c>
      <c r="V27" s="5">
        <f>SUMIF('NIFTY Next Expiry'!$O$2:$O$69,Analysis!Z27,'NIFTY Next Expiry'!$R$2:$R$69)</f>
        <v>286</v>
      </c>
      <c r="W27" s="38">
        <f>SUMIF('NIFTY Next Expiry'!$O$2:$O$69,Analysis!Z27,'NIFTY Next Expiry'!$Y$2:$Y$69)</f>
        <v>-24.292845257903497</v>
      </c>
      <c r="X27" s="5">
        <f>SUMIF('NIFTY Next Expiry'!$O$2:$O$69,Analysis!Z27,'NIFTY Next Expiry'!$X$2:$X$69)</f>
        <v>-116.8</v>
      </c>
      <c r="Y27" s="5">
        <f>SUMIF('NIFTY Next Expiry'!$O$2:$O$69,Analysis!Z27,'NIFTY Next Expiry'!$W$2:$W$69)</f>
        <v>364</v>
      </c>
      <c r="Z27" s="15">
        <f t="shared" ref="Z27:Z30" si="2">Z28-50</f>
        <v>18400</v>
      </c>
      <c r="AA27" s="5">
        <f>SUMIF('NIFTY Next Expiry'!$C$2:$C$69,Analysis!Z27,'NIFTY Next Expiry'!$K$2:$K$69)</f>
        <v>34.75</v>
      </c>
      <c r="AB27" s="5">
        <f>SUMIF('NIFTY Next Expiry'!$C$2:$C$69,Analysis!Z27,'NIFTY Next Expiry'!$L$2:$L$69)</f>
        <v>7.6499999999999986</v>
      </c>
      <c r="AC27" s="38">
        <f>SUMIF('NIFTY Next Expiry'!$C$2:$C$69,Analysis!Z27,'NIFTY Next Expiry'!$M$2:$M$69)</f>
        <v>28.22878228782287</v>
      </c>
      <c r="AD27" s="5">
        <f>SUMIF('NIFTY Next Expiry'!$C$2:$C$69,Analysis!Z27,'NIFTY Next Expiry'!$F$2:$F$69)</f>
        <v>8744</v>
      </c>
      <c r="AE27" s="5">
        <f>SUMIF('NIFTY Next Expiry'!$C$2:$C$69,Analysis!Z27,'NIFTY Next Expiry'!$I$2:$I$69)</f>
        <v>37514</v>
      </c>
      <c r="AF27" s="20">
        <f>SUMIF('NIFTY Next Expiry'!$C$2:$C$69,Analysis!Z27,'NIFTY Next Expiry'!$G$2:$G$69)</f>
        <v>1946</v>
      </c>
      <c r="AG27" s="29">
        <f>SUMIF('NIFTY Next Expiry'!$C$2:$C$69,Analysis!Z27,'NIFTY Next Expiry'!$H$2:$H$69)</f>
        <v>28.626066490144161</v>
      </c>
    </row>
    <row r="28" spans="2:33" x14ac:dyDescent="0.25">
      <c r="B28" s="44">
        <f>SUMIF('BANKNIFTY Next Expiry'!$C$2:$C$76,Analysis!I28,'BANKNIFTY Next Expiry'!$H$2:$H$76)</f>
        <v>231.375</v>
      </c>
      <c r="C28" s="3">
        <f>SUMIF('BANKNIFTY Next Expiry'!$C$2:$C$76,Analysis!I28,'BANKNIFTY Next Expiry'!$G$2:$G$76)</f>
        <v>3702</v>
      </c>
      <c r="D28" s="3">
        <f>SUMIF('BANKNIFTY Next Expiry'!$C$2:$C$76,Analysis!I28,'BANKNIFTY Next Expiry'!$I$2:$I$76)</f>
        <v>99270</v>
      </c>
      <c r="E28" s="3">
        <f>SUMIF('BANKNIFTY Next Expiry'!$C$2:$C$76,Analysis!I28,'BANKNIFTY Next Expiry'!$F$2:$F$76)</f>
        <v>5302</v>
      </c>
      <c r="F28" s="39">
        <f>SUMIF('BANKNIFTY Next Expiry'!$C$2:$C$76,Analysis!I28,'BANKNIFTY Next Expiry'!$M$2:$M$76)</f>
        <v>-20.34834324553951</v>
      </c>
      <c r="G28" s="3">
        <f>SUMIF('BANKNIFTY Next Expiry'!$C$2:$C$76,Analysis!I28,'BANKNIFTY Next Expiry'!$L$2:$L$76)</f>
        <v>-95.8</v>
      </c>
      <c r="H28" s="3">
        <f>SUMIF('BANKNIFTY Next Expiry'!$C$2:$C$76,Analysis!I28,'BANKNIFTY Next Expiry'!$K$2:$K$76)</f>
        <v>375</v>
      </c>
      <c r="I28" s="33">
        <f>I27+100</f>
        <v>43700</v>
      </c>
      <c r="J28" s="3">
        <f>SUMIF('BANKNIFTY Next Expiry'!$O$2:$O$76,Analysis!I28,'BANKNIFTY Next Expiry'!$W$2:$W$76)</f>
        <v>347.2</v>
      </c>
      <c r="K28" s="3">
        <f>SUMIF('BANKNIFTY Next Expiry'!$O$2:$O$76,Analysis!I28,'BANKNIFTY Next Expiry'!$X$2:$X$76)</f>
        <v>-2.1000000000000227</v>
      </c>
      <c r="L28" s="39">
        <f>SUMIF('BANKNIFTY Next Expiry'!$O$2:$O$76,Analysis!I28,'BANKNIFTY Next Expiry'!$Y$2:$Y$76)</f>
        <v>-0.60120240480962572</v>
      </c>
      <c r="M28" s="3">
        <f>SUMIF('BANKNIFTY Next Expiry'!$O$2:$O$76,Analysis!I28,'BANKNIFTY Next Expiry'!$R$2:$R$76)</f>
        <v>5145</v>
      </c>
      <c r="N28" s="3">
        <f>SUMIF('BANKNIFTY Next Expiry'!$O$2:$O$76,Analysis!I28,'BANKNIFTY Next Expiry'!$U$2:$U$76)</f>
        <v>126116</v>
      </c>
      <c r="O28" s="3">
        <f>SUMIF('BANKNIFTY Next Expiry'!$O$2:$O$76,Analysis!I28,'BANKNIFTY Next Expiry'!$S$2:$S$76)</f>
        <v>4033</v>
      </c>
      <c r="P28" s="52">
        <f>SUMIF('BANKNIFTY Next Expiry'!$O$2:$O$76,Analysis!I28,'BANKNIFTY Next Expiry'!$T$2:$T$76)</f>
        <v>362.6798561151079</v>
      </c>
      <c r="S28" s="30">
        <f>SUMIF('NIFTY Next Expiry'!$O$2:$O$69,Analysis!Z28,'NIFTY Next Expiry'!$T$2:$T$69)</f>
        <v>2933.3333333333335</v>
      </c>
      <c r="T28" s="23">
        <f>SUMIF('NIFTY Next Expiry'!$O$2:$O$69,Analysis!Z28,'NIFTY Next Expiry'!$S$2:$S$69)</f>
        <v>88</v>
      </c>
      <c r="U28" s="5">
        <f>SUMIF('NIFTY Next Expiry'!$O$2:$O$69,Analysis!Z28,'NIFTY Next Expiry'!$U$2:$U$69)</f>
        <v>246</v>
      </c>
      <c r="V28" s="5">
        <f>SUMIF('NIFTY Next Expiry'!$O$2:$O$69,Analysis!Z28,'NIFTY Next Expiry'!$R$2:$R$69)</f>
        <v>91</v>
      </c>
      <c r="W28" s="38">
        <f>SUMIF('NIFTY Next Expiry'!$O$2:$O$69,Analysis!Z28,'NIFTY Next Expiry'!$Y$2:$Y$69)</f>
        <v>-35.308151093439363</v>
      </c>
      <c r="X28" s="5">
        <f>SUMIF('NIFTY Next Expiry'!$O$2:$O$69,Analysis!Z28,'NIFTY Next Expiry'!$X$2:$X$69)</f>
        <v>-177.60000000000002</v>
      </c>
      <c r="Y28" s="5">
        <f>SUMIF('NIFTY Next Expiry'!$O$2:$O$69,Analysis!Z28,'NIFTY Next Expiry'!$W$2:$W$69)</f>
        <v>325.39999999999998</v>
      </c>
      <c r="Z28" s="15">
        <f t="shared" si="2"/>
        <v>18450</v>
      </c>
      <c r="AA28" s="5">
        <f>SUMIF('NIFTY Next Expiry'!$C$2:$C$69,Analysis!Z28,'NIFTY Next Expiry'!$K$2:$K$69)</f>
        <v>42.55</v>
      </c>
      <c r="AB28" s="5">
        <f>SUMIF('NIFTY Next Expiry'!$C$2:$C$69,Analysis!Z28,'NIFTY Next Expiry'!$L$2:$L$69)</f>
        <v>10.349999999999994</v>
      </c>
      <c r="AC28" s="38">
        <f>SUMIF('NIFTY Next Expiry'!$C$2:$C$69,Analysis!Z28,'NIFTY Next Expiry'!$M$2:$M$69)</f>
        <v>32.142857142857125</v>
      </c>
      <c r="AD28" s="5">
        <f>SUMIF('NIFTY Next Expiry'!$C$2:$C$69,Analysis!Z28,'NIFTY Next Expiry'!$F$2:$F$69)</f>
        <v>4107</v>
      </c>
      <c r="AE28" s="5">
        <f>SUMIF('NIFTY Next Expiry'!$C$2:$C$69,Analysis!Z28,'NIFTY Next Expiry'!$I$2:$I$69)</f>
        <v>19361</v>
      </c>
      <c r="AF28" s="20">
        <f>SUMIF('NIFTY Next Expiry'!$C$2:$C$69,Analysis!Z28,'NIFTY Next Expiry'!$G$2:$G$69)</f>
        <v>2787</v>
      </c>
      <c r="AG28" s="29">
        <f>SUMIF('NIFTY Next Expiry'!$C$2:$C$69,Analysis!Z28,'NIFTY Next Expiry'!$H$2:$H$69)</f>
        <v>211.13636363636363</v>
      </c>
    </row>
    <row r="29" spans="2:33" x14ac:dyDescent="0.25">
      <c r="B29" s="44">
        <f>SUMIF('BANKNIFTY Next Expiry'!$C$2:$C$76,Analysis!I29,'BANKNIFTY Next Expiry'!$H$2:$H$76)</f>
        <v>171.38116963915388</v>
      </c>
      <c r="C29" s="3">
        <f>SUMIF('BANKNIFTY Next Expiry'!$C$2:$C$76,Analysis!I29,'BANKNIFTY Next Expiry'!$G$2:$G$76)</f>
        <v>4132</v>
      </c>
      <c r="D29" s="3">
        <f>SUMIF('BANKNIFTY Next Expiry'!$C$2:$C$76,Analysis!I29,'BANKNIFTY Next Expiry'!$I$2:$I$76)</f>
        <v>74641</v>
      </c>
      <c r="E29" s="3">
        <f>SUMIF('BANKNIFTY Next Expiry'!$C$2:$C$76,Analysis!I29,'BANKNIFTY Next Expiry'!$F$2:$F$76)</f>
        <v>6543</v>
      </c>
      <c r="F29" s="39">
        <f>SUMIF('BANKNIFTY Next Expiry'!$C$2:$C$76,Analysis!I29,'BANKNIFTY Next Expiry'!$M$2:$M$76)</f>
        <v>-21.007593105941915</v>
      </c>
      <c r="G29" s="3">
        <f>SUMIF('BANKNIFTY Next Expiry'!$C$2:$C$76,Analysis!I29,'BANKNIFTY Next Expiry'!$L$2:$L$76)</f>
        <v>-87.150000000000034</v>
      </c>
      <c r="H29" s="3">
        <f>SUMIF('BANKNIFTY Next Expiry'!$C$2:$C$76,Analysis!I29,'BANKNIFTY Next Expiry'!$K$2:$K$76)</f>
        <v>327.7</v>
      </c>
      <c r="I29" s="15">
        <f>I28+100</f>
        <v>43800</v>
      </c>
      <c r="J29" s="3">
        <f>SUMIF('BANKNIFTY Next Expiry'!$O$2:$O$76,Analysis!I29,'BANKNIFTY Next Expiry'!$W$2:$W$76)</f>
        <v>399</v>
      </c>
      <c r="K29" s="3">
        <f>SUMIF('BANKNIFTY Next Expiry'!$O$2:$O$76,Analysis!I29,'BANKNIFTY Next Expiry'!$X$2:$X$76)</f>
        <v>5.1999999999999886</v>
      </c>
      <c r="L29" s="39">
        <f>SUMIF('BANKNIFTY Next Expiry'!$O$2:$O$76,Analysis!I29,'BANKNIFTY Next Expiry'!$Y$2:$Y$76)</f>
        <v>1.3204672422549488</v>
      </c>
      <c r="M29" s="3">
        <f>SUMIF('BANKNIFTY Next Expiry'!$O$2:$O$76,Analysis!I29,'BANKNIFTY Next Expiry'!$R$2:$R$76)</f>
        <v>3864</v>
      </c>
      <c r="N29" s="3">
        <f>SUMIF('BANKNIFTY Next Expiry'!$O$2:$O$76,Analysis!I29,'BANKNIFTY Next Expiry'!$U$2:$U$76)</f>
        <v>73533</v>
      </c>
      <c r="O29" s="3">
        <f>SUMIF('BANKNIFTY Next Expiry'!$O$2:$O$76,Analysis!I29,'BANKNIFTY Next Expiry'!$S$2:$S$76)</f>
        <v>2405</v>
      </c>
      <c r="P29" s="52">
        <f>SUMIF('BANKNIFTY Next Expiry'!$O$2:$O$76,Analysis!I29,'BANKNIFTY Next Expiry'!$T$2:$T$76)</f>
        <v>164.8389307745031</v>
      </c>
      <c r="S29" s="30">
        <f>SUMIF('NIFTY Next Expiry'!$O$2:$O$69,Analysis!Z29,'NIFTY Next Expiry'!$T$2:$T$69)</f>
        <v>68.616567036720753</v>
      </c>
      <c r="T29" s="23">
        <f>SUMIF('NIFTY Next Expiry'!$O$2:$O$69,Analysis!Z29,'NIFTY Next Expiry'!$S$2:$S$69)</f>
        <v>1607</v>
      </c>
      <c r="U29" s="5">
        <f>SUMIF('NIFTY Next Expiry'!$O$2:$O$69,Analysis!Z29,'NIFTY Next Expiry'!$U$2:$U$69)</f>
        <v>8367</v>
      </c>
      <c r="V29" s="5">
        <f>SUMIF('NIFTY Next Expiry'!$O$2:$O$69,Analysis!Z29,'NIFTY Next Expiry'!$R$2:$R$69)</f>
        <v>3949</v>
      </c>
      <c r="W29" s="38">
        <f>SUMIF('NIFTY Next Expiry'!$O$2:$O$69,Analysis!Z29,'NIFTY Next Expiry'!$Y$2:$Y$69)</f>
        <v>-28.125795772854595</v>
      </c>
      <c r="X29" s="5">
        <f>SUMIF('NIFTY Next Expiry'!$O$2:$O$69,Analysis!Z29,'NIFTY Next Expiry'!$X$2:$X$69)</f>
        <v>-110.45</v>
      </c>
      <c r="Y29" s="5">
        <f>SUMIF('NIFTY Next Expiry'!$O$2:$O$69,Analysis!Z29,'NIFTY Next Expiry'!$W$2:$W$69)</f>
        <v>282.25</v>
      </c>
      <c r="Z29" s="15">
        <f t="shared" si="2"/>
        <v>18500</v>
      </c>
      <c r="AA29" s="5">
        <f>SUMIF('NIFTY Next Expiry'!$C$2:$C$69,Analysis!Z29,'NIFTY Next Expiry'!$K$2:$K$69)</f>
        <v>53.2</v>
      </c>
      <c r="AB29" s="5">
        <f>SUMIF('NIFTY Next Expiry'!$C$2:$C$69,Analysis!Z29,'NIFTY Next Expiry'!$L$2:$L$69)</f>
        <v>14.050000000000004</v>
      </c>
      <c r="AC29" s="38">
        <f>SUMIF('NIFTY Next Expiry'!$C$2:$C$69,Analysis!Z29,'NIFTY Next Expiry'!$M$2:$M$69)</f>
        <v>35.887611749680723</v>
      </c>
      <c r="AD29" s="5">
        <f>SUMIF('NIFTY Next Expiry'!$C$2:$C$69,Analysis!Z29,'NIFTY Next Expiry'!$F$2:$F$69)</f>
        <v>15422</v>
      </c>
      <c r="AE29" s="5">
        <f>SUMIF('NIFTY Next Expiry'!$C$2:$C$69,Analysis!Z29,'NIFTY Next Expiry'!$I$2:$I$69)</f>
        <v>91720</v>
      </c>
      <c r="AF29" s="20">
        <f>SUMIF('NIFTY Next Expiry'!$C$2:$C$69,Analysis!Z29,'NIFTY Next Expiry'!$G$2:$G$69)</f>
        <v>5846</v>
      </c>
      <c r="AG29" s="29">
        <f>SUMIF('NIFTY Next Expiry'!$C$2:$C$69,Analysis!Z29,'NIFTY Next Expiry'!$H$2:$H$69)</f>
        <v>61.048454469507099</v>
      </c>
    </row>
    <row r="30" spans="2:33" ht="15.75" thickBot="1" x14ac:dyDescent="0.3">
      <c r="B30" s="57">
        <f>SUMIF('BANKNIFTY Next Expiry'!$C$2:$C$76,Analysis!I30,'BANKNIFTY Next Expiry'!$H$2:$H$76)</f>
        <v>55.708502024291498</v>
      </c>
      <c r="C30" s="41">
        <f>SUMIF('BANKNIFTY Next Expiry'!$C$2:$C$76,Analysis!I30,'BANKNIFTY Next Expiry'!$G$2:$G$76)</f>
        <v>1376</v>
      </c>
      <c r="D30" s="41">
        <f>SUMIF('BANKNIFTY Next Expiry'!$C$2:$C$76,Analysis!I30,'BANKNIFTY Next Expiry'!$I$2:$I$76)</f>
        <v>43743</v>
      </c>
      <c r="E30" s="41">
        <f>SUMIF('BANKNIFTY Next Expiry'!$C$2:$C$76,Analysis!I30,'BANKNIFTY Next Expiry'!$F$2:$F$76)</f>
        <v>3846</v>
      </c>
      <c r="F30" s="40">
        <f>SUMIF('BANKNIFTY Next Expiry'!$C$2:$C$76,Analysis!I30,'BANKNIFTY Next Expiry'!$M$2:$M$76)</f>
        <v>-23.613963039014372</v>
      </c>
      <c r="G30" s="41">
        <f>SUMIF('BANKNIFTY Next Expiry'!$C$2:$C$76,Analysis!I30,'BANKNIFTY Next Expiry'!$L$2:$L$76)</f>
        <v>-86.25</v>
      </c>
      <c r="H30" s="41">
        <f>SUMIF('BANKNIFTY Next Expiry'!$C$2:$C$76,Analysis!I30,'BANKNIFTY Next Expiry'!$K$2:$K$76)</f>
        <v>279</v>
      </c>
      <c r="I30" s="34">
        <f>I29+100</f>
        <v>43900</v>
      </c>
      <c r="J30" s="41">
        <f>SUMIF('BANKNIFTY Next Expiry'!$O$2:$O$76,Analysis!I30,'BANKNIFTY Next Expiry'!$W$2:$W$76)</f>
        <v>442.15</v>
      </c>
      <c r="K30" s="41">
        <f>SUMIF('BANKNIFTY Next Expiry'!$O$2:$O$76,Analysis!I30,'BANKNIFTY Next Expiry'!$X$2:$X$76)</f>
        <v>-0.10000000000002274</v>
      </c>
      <c r="L30" s="40">
        <f>SUMIF('BANKNIFTY Next Expiry'!$O$2:$O$76,Analysis!I30,'BANKNIFTY Next Expiry'!$Y$2:$Y$76)</f>
        <v>-2.2611644997178687E-2</v>
      </c>
      <c r="M30" s="41">
        <f>SUMIF('BANKNIFTY Next Expiry'!$O$2:$O$76,Analysis!I30,'BANKNIFTY Next Expiry'!$R$2:$R$76)</f>
        <v>1134</v>
      </c>
      <c r="N30" s="41">
        <f>SUMIF('BANKNIFTY Next Expiry'!$O$2:$O$76,Analysis!I30,'BANKNIFTY Next Expiry'!$U$2:$U$76)</f>
        <v>24306</v>
      </c>
      <c r="O30" s="41">
        <f>SUMIF('BANKNIFTY Next Expiry'!$O$2:$O$76,Analysis!I30,'BANKNIFTY Next Expiry'!$S$2:$S$76)</f>
        <v>-600</v>
      </c>
      <c r="P30" s="60">
        <f>SUMIF('BANKNIFTY Next Expiry'!$O$2:$O$76,Analysis!I30,'BANKNIFTY Next Expiry'!$T$2:$T$76)</f>
        <v>-34.602076124567475</v>
      </c>
      <c r="S30" s="30">
        <f>SUMIF('NIFTY Next Expiry'!$O$2:$O$69,Analysis!Z30,'NIFTY Next Expiry'!$T$2:$T$69)</f>
        <v>28.753993610223642</v>
      </c>
      <c r="T30" s="23">
        <f>SUMIF('NIFTY Next Expiry'!$O$2:$O$69,Analysis!Z30,'NIFTY Next Expiry'!$S$2:$S$69)</f>
        <v>90</v>
      </c>
      <c r="U30" s="5">
        <f>SUMIF('NIFTY Next Expiry'!$O$2:$O$69,Analysis!Z30,'NIFTY Next Expiry'!$U$2:$U$69)</f>
        <v>1999</v>
      </c>
      <c r="V30" s="5">
        <f>SUMIF('NIFTY Next Expiry'!$O$2:$O$69,Analysis!Z30,'NIFTY Next Expiry'!$R$2:$R$69)</f>
        <v>403</v>
      </c>
      <c r="W30" s="38">
        <f>SUMIF('NIFTY Next Expiry'!$O$2:$O$69,Analysis!Z30,'NIFTY Next Expiry'!$Y$2:$Y$69)</f>
        <v>-30.600478132470819</v>
      </c>
      <c r="X30" s="5">
        <f>SUMIF('NIFTY Next Expiry'!$O$2:$O$69,Analysis!Z30,'NIFTY Next Expiry'!$X$2:$X$69)</f>
        <v>-108.8</v>
      </c>
      <c r="Y30" s="5">
        <f>SUMIF('NIFTY Next Expiry'!$O$2:$O$69,Analysis!Z30,'NIFTY Next Expiry'!$W$2:$W$69)</f>
        <v>246.75</v>
      </c>
      <c r="Z30" s="15">
        <f t="shared" si="2"/>
        <v>18550</v>
      </c>
      <c r="AA30" s="5">
        <f>SUMIF('NIFTY Next Expiry'!$C$2:$C$69,Analysis!Z30,'NIFTY Next Expiry'!$K$2:$K$69)</f>
        <v>65</v>
      </c>
      <c r="AB30" s="5">
        <f>SUMIF('NIFTY Next Expiry'!$C$2:$C$69,Analysis!Z30,'NIFTY Next Expiry'!$L$2:$L$69)</f>
        <v>17.950000000000003</v>
      </c>
      <c r="AC30" s="38">
        <f>SUMIF('NIFTY Next Expiry'!$C$2:$C$69,Analysis!Z30,'NIFTY Next Expiry'!$M$2:$M$69)</f>
        <v>38.150903294367701</v>
      </c>
      <c r="AD30" s="5">
        <f>SUMIF('NIFTY Next Expiry'!$C$2:$C$69,Analysis!Z30,'NIFTY Next Expiry'!$F$2:$F$69)</f>
        <v>2109</v>
      </c>
      <c r="AE30" s="5">
        <f>SUMIF('NIFTY Next Expiry'!$C$2:$C$69,Analysis!Z30,'NIFTY Next Expiry'!$I$2:$I$69)</f>
        <v>30541</v>
      </c>
      <c r="AF30" s="20">
        <f>SUMIF('NIFTY Next Expiry'!$C$2:$C$69,Analysis!Z30,'NIFTY Next Expiry'!$G$2:$G$69)</f>
        <v>367</v>
      </c>
      <c r="AG30" s="29">
        <f>SUMIF('NIFTY Next Expiry'!$C$2:$C$69,Analysis!Z30,'NIFTY Next Expiry'!$H$2:$H$69)</f>
        <v>21.067738231917335</v>
      </c>
    </row>
    <row r="31" spans="2:33" ht="15.75" thickBot="1" x14ac:dyDescent="0.3">
      <c r="S31" s="30">
        <f>SUMIF('NIFTY Next Expiry'!$O$2:$O$69,Analysis!Z31,'NIFTY Next Expiry'!$T$2:$T$69)</f>
        <v>535.82887700534764</v>
      </c>
      <c r="T31" s="23">
        <f>SUMIF('NIFTY Next Expiry'!$O$2:$O$69,Analysis!Z31,'NIFTY Next Expiry'!$S$2:$S$69)</f>
        <v>3006</v>
      </c>
      <c r="U31" s="5">
        <f>SUMIF('NIFTY Next Expiry'!$O$2:$O$69,Analysis!Z31,'NIFTY Next Expiry'!$U$2:$U$69)</f>
        <v>40554</v>
      </c>
      <c r="V31" s="5">
        <f>SUMIF('NIFTY Next Expiry'!$O$2:$O$69,Analysis!Z31,'NIFTY Next Expiry'!$R$2:$R$69)</f>
        <v>3567</v>
      </c>
      <c r="W31" s="38">
        <f>SUMIF('NIFTY Next Expiry'!$O$2:$O$69,Analysis!Z31,'NIFTY Next Expiry'!$Y$2:$Y$69)</f>
        <v>-33.322764743183257</v>
      </c>
      <c r="X31" s="5">
        <f>SUMIF('NIFTY Next Expiry'!$O$2:$O$69,Analysis!Z31,'NIFTY Next Expiry'!$X$2:$X$69)</f>
        <v>-105.09999999999997</v>
      </c>
      <c r="Y31" s="5">
        <f>SUMIF('NIFTY Next Expiry'!$O$2:$O$69,Analysis!Z31,'NIFTY Next Expiry'!$W$2:$W$69)</f>
        <v>210.3</v>
      </c>
      <c r="Z31" s="32">
        <f>Z32-50</f>
        <v>18600</v>
      </c>
      <c r="AA31" s="5">
        <f>SUMIF('NIFTY Next Expiry'!$C$2:$C$69,Analysis!Z31,'NIFTY Next Expiry'!$K$2:$K$69)</f>
        <v>79.55</v>
      </c>
      <c r="AB31" s="5">
        <f>SUMIF('NIFTY Next Expiry'!$C$2:$C$69,Analysis!Z31,'NIFTY Next Expiry'!$L$2:$L$69)</f>
        <v>22.65</v>
      </c>
      <c r="AC31" s="38">
        <f>SUMIF('NIFTY Next Expiry'!$C$2:$C$69,Analysis!Z31,'NIFTY Next Expiry'!$M$2:$M$69)</f>
        <v>39.806678383128293</v>
      </c>
      <c r="AD31" s="5">
        <f>SUMIF('NIFTY Next Expiry'!$C$2:$C$69,Analysis!Z31,'NIFTY Next Expiry'!$F$2:$F$69)</f>
        <v>10681</v>
      </c>
      <c r="AE31" s="5">
        <f>SUMIF('NIFTY Next Expiry'!$C$2:$C$69,Analysis!Z31,'NIFTY Next Expiry'!$I$2:$I$69)</f>
        <v>130914</v>
      </c>
      <c r="AF31" s="20">
        <f>SUMIF('NIFTY Next Expiry'!$C$2:$C$69,Analysis!Z31,'NIFTY Next Expiry'!$G$2:$G$69)</f>
        <v>-603</v>
      </c>
      <c r="AG31" s="29">
        <f>SUMIF('NIFTY Next Expiry'!$C$2:$C$69,Analysis!Z31,'NIFTY Next Expiry'!$H$2:$H$69)</f>
        <v>-5.3438496986884081</v>
      </c>
    </row>
    <row r="32" spans="2:33" ht="15.75" thickBot="1" x14ac:dyDescent="0.3">
      <c r="C32" s="66" t="s">
        <v>34</v>
      </c>
      <c r="D32" s="67"/>
      <c r="E32" s="68"/>
      <c r="F32" s="10" t="s">
        <v>30</v>
      </c>
      <c r="J32" s="66" t="s">
        <v>35</v>
      </c>
      <c r="K32" s="67"/>
      <c r="L32" s="67"/>
      <c r="M32" s="67"/>
      <c r="N32" s="68"/>
      <c r="O32" s="10" t="s">
        <v>30</v>
      </c>
      <c r="S32" s="30">
        <f>SUMIF('NIFTY Next Expiry'!$O$2:$O$69,Analysis!Z32,'NIFTY Next Expiry'!$T$2:$T$69)</f>
        <v>993.48837209302314</v>
      </c>
      <c r="T32" s="23">
        <f>SUMIF('NIFTY Next Expiry'!$O$2:$O$69,Analysis!Z32,'NIFTY Next Expiry'!$S$2:$S$69)</f>
        <v>2136</v>
      </c>
      <c r="U32" s="5">
        <f>SUMIF('NIFTY Next Expiry'!$O$2:$O$69,Analysis!Z32,'NIFTY Next Expiry'!$U$2:$U$69)</f>
        <v>24739</v>
      </c>
      <c r="V32" s="5">
        <f>SUMIF('NIFTY Next Expiry'!$O$2:$O$69,Analysis!Z32,'NIFTY Next Expiry'!$R$2:$R$69)</f>
        <v>2351</v>
      </c>
      <c r="W32" s="38">
        <f>SUMIF('NIFTY Next Expiry'!$O$2:$O$69,Analysis!Z32,'NIFTY Next Expiry'!$Y$2:$Y$69)</f>
        <v>-35.751859241792125</v>
      </c>
      <c r="X32" s="5">
        <f>SUMIF('NIFTY Next Expiry'!$O$2:$O$69,Analysis!Z32,'NIFTY Next Expiry'!$X$2:$X$69)</f>
        <v>-98.549999999999983</v>
      </c>
      <c r="Y32" s="5">
        <f>SUMIF('NIFTY Next Expiry'!$O$2:$O$69,Analysis!Z32,'NIFTY Next Expiry'!$W$2:$W$69)</f>
        <v>177.1</v>
      </c>
      <c r="Z32" s="16">
        <f>ROUND('NIFTY Next Expiry'!N69/50,0)*50</f>
        <v>18650</v>
      </c>
      <c r="AA32" s="5">
        <f>SUMIF('NIFTY Next Expiry'!$C$2:$C$69,Analysis!Z32,'NIFTY Next Expiry'!$K$2:$K$69)</f>
        <v>97.5</v>
      </c>
      <c r="AB32" s="5">
        <f>SUMIF('NIFTY Next Expiry'!$C$2:$C$69,Analysis!Z32,'NIFTY Next Expiry'!$L$2:$L$69)</f>
        <v>28.700000000000003</v>
      </c>
      <c r="AC32" s="38">
        <f>SUMIF('NIFTY Next Expiry'!$C$2:$C$69,Analysis!Z32,'NIFTY Next Expiry'!$M$2:$M$69)</f>
        <v>41.715116279069775</v>
      </c>
      <c r="AD32" s="5">
        <f>SUMIF('NIFTY Next Expiry'!$C$2:$C$69,Analysis!Z32,'NIFTY Next Expiry'!$F$2:$F$69)</f>
        <v>2270</v>
      </c>
      <c r="AE32" s="5">
        <f>SUMIF('NIFTY Next Expiry'!$C$2:$C$69,Analysis!Z32,'NIFTY Next Expiry'!$I$2:$I$69)</f>
        <v>68242</v>
      </c>
      <c r="AF32" s="20">
        <f>SUMIF('NIFTY Next Expiry'!$C$2:$C$69,Analysis!Z32,'NIFTY Next Expiry'!$G$2:$G$69)</f>
        <v>1153</v>
      </c>
      <c r="AG32" s="29">
        <f>SUMIF('NIFTY Next Expiry'!$C$2:$C$69,Analysis!Z32,'NIFTY Next Expiry'!$H$2:$H$69)</f>
        <v>103.22291853178156</v>
      </c>
    </row>
    <row r="33" spans="2:33" x14ac:dyDescent="0.25">
      <c r="C33" s="64" t="s">
        <v>36</v>
      </c>
      <c r="D33" s="65"/>
      <c r="E33" s="13">
        <f>MAX(E24:E30)</f>
        <v>6543</v>
      </c>
      <c r="F33" s="11">
        <f>VLOOKUP(E33,$E$24:$I$30,5,FALSE)</f>
        <v>43800</v>
      </c>
      <c r="J33" s="64" t="s">
        <v>36</v>
      </c>
      <c r="K33" s="73"/>
      <c r="L33" s="73"/>
      <c r="M33" s="65"/>
      <c r="N33" s="11">
        <f>MAX(M24:M30)</f>
        <v>9106</v>
      </c>
      <c r="O33" s="1">
        <f>SUMIF($M$24:$M$30,N33,$I$24:$I$30)</f>
        <v>43500</v>
      </c>
      <c r="S33" s="30">
        <f>SUMIF('NIFTY Next Expiry'!$O$2:$O$69,Analysis!Z33,'NIFTY Next Expiry'!$T$2:$T$69)</f>
        <v>346.09227871939737</v>
      </c>
      <c r="T33" s="23">
        <f>SUMIF('NIFTY Next Expiry'!$O$2:$O$69,Analysis!Z33,'NIFTY Next Expiry'!$S$2:$S$69)</f>
        <v>7351</v>
      </c>
      <c r="U33" s="5">
        <f>SUMIF('NIFTY Next Expiry'!$O$2:$O$69,Analysis!Z33,'NIFTY Next Expiry'!$U$2:$U$69)</f>
        <v>131618</v>
      </c>
      <c r="V33" s="5">
        <f>SUMIF('NIFTY Next Expiry'!$O$2:$O$69,Analysis!Z33,'NIFTY Next Expiry'!$R$2:$R$69)</f>
        <v>9475</v>
      </c>
      <c r="W33" s="38">
        <f>SUMIF('NIFTY Next Expiry'!$O$2:$O$69,Analysis!Z33,'NIFTY Next Expiry'!$Y$2:$Y$69)</f>
        <v>-38.371850926504273</v>
      </c>
      <c r="X33" s="5">
        <f>SUMIF('NIFTY Next Expiry'!$O$2:$O$69,Analysis!Z33,'NIFTY Next Expiry'!$X$2:$X$69)</f>
        <v>-92.15</v>
      </c>
      <c r="Y33" s="5">
        <f>SUMIF('NIFTY Next Expiry'!$O$2:$O$69,Analysis!Z33,'NIFTY Next Expiry'!$W$2:$W$69)</f>
        <v>148</v>
      </c>
      <c r="Z33" s="33">
        <f>Z32+50</f>
        <v>18700</v>
      </c>
      <c r="AA33" s="5">
        <f>SUMIF('NIFTY Next Expiry'!$C$2:$C$69,Analysis!Z33,'NIFTY Next Expiry'!$K$2:$K$69)</f>
        <v>114.8</v>
      </c>
      <c r="AB33" s="5">
        <f>SUMIF('NIFTY Next Expiry'!$C$2:$C$69,Analysis!Z33,'NIFTY Next Expiry'!$L$2:$L$69)</f>
        <v>33.099999999999994</v>
      </c>
      <c r="AC33" s="38">
        <f>SUMIF('NIFTY Next Expiry'!$C$2:$C$69,Analysis!Z33,'NIFTY Next Expiry'!$M$2:$M$69)</f>
        <v>40.514075887392892</v>
      </c>
      <c r="AD33" s="5">
        <f>SUMIF('NIFTY Next Expiry'!$C$2:$C$69,Analysis!Z33,'NIFTY Next Expiry'!$F$2:$F$69)</f>
        <v>11945</v>
      </c>
      <c r="AE33" s="5">
        <f>SUMIF('NIFTY Next Expiry'!$C$2:$C$69,Analysis!Z33,'NIFTY Next Expiry'!$I$2:$I$69)</f>
        <v>220585</v>
      </c>
      <c r="AF33" s="20">
        <f>SUMIF('NIFTY Next Expiry'!$C$2:$C$69,Analysis!Z33,'NIFTY Next Expiry'!$G$2:$G$69)</f>
        <v>4164</v>
      </c>
      <c r="AG33" s="29">
        <f>SUMIF('NIFTY Next Expiry'!$C$2:$C$69,Analysis!Z33,'NIFTY Next Expiry'!$H$2:$H$69)</f>
        <v>53.514972368590158</v>
      </c>
    </row>
    <row r="34" spans="2:33" ht="15.75" thickBot="1" x14ac:dyDescent="0.3">
      <c r="C34" s="71" t="s">
        <v>37</v>
      </c>
      <c r="D34" s="72"/>
      <c r="E34" s="27">
        <f>MAX(C24:C30)</f>
        <v>4132</v>
      </c>
      <c r="F34" s="28">
        <f>VLOOKUP(E34,$C$24:$I$30,7,FALSE)</f>
        <v>43800</v>
      </c>
      <c r="J34" s="69" t="s">
        <v>37</v>
      </c>
      <c r="K34" s="62"/>
      <c r="L34" s="62"/>
      <c r="M34" s="70"/>
      <c r="N34" s="12">
        <f>MAX(O24:O30)</f>
        <v>6051</v>
      </c>
      <c r="O34" s="14">
        <f>SUMIF($O$24:$O$30,N34,$I$24:$I$30)</f>
        <v>43500</v>
      </c>
      <c r="S34" s="30">
        <f>SUMIF('NIFTY Next Expiry'!$O$2:$O$69,Analysis!Z34,'NIFTY Next Expiry'!$T$2:$T$69)</f>
        <v>324.56140350877195</v>
      </c>
      <c r="T34" s="23">
        <f>SUMIF('NIFTY Next Expiry'!$O$2:$O$69,Analysis!Z34,'NIFTY Next Expiry'!$S$2:$S$69)</f>
        <v>4070</v>
      </c>
      <c r="U34" s="5">
        <f>SUMIF('NIFTY Next Expiry'!$O$2:$O$69,Analysis!Z34,'NIFTY Next Expiry'!$U$2:$U$69)</f>
        <v>59460</v>
      </c>
      <c r="V34" s="5">
        <f>SUMIF('NIFTY Next Expiry'!$O$2:$O$69,Analysis!Z34,'NIFTY Next Expiry'!$R$2:$R$69)</f>
        <v>5324</v>
      </c>
      <c r="W34" s="38">
        <f>SUMIF('NIFTY Next Expiry'!$O$2:$O$69,Analysis!Z34,'NIFTY Next Expiry'!$Y$2:$Y$69)</f>
        <v>-41.427537979262112</v>
      </c>
      <c r="X34" s="5">
        <f>SUMIF('NIFTY Next Expiry'!$O$2:$O$69,Analysis!Z34,'NIFTY Next Expiry'!$X$2:$X$69)</f>
        <v>-85.899999999999991</v>
      </c>
      <c r="Y34" s="5">
        <f>SUMIF('NIFTY Next Expiry'!$O$2:$O$69,Analysis!Z34,'NIFTY Next Expiry'!$W$2:$W$69)</f>
        <v>121.45</v>
      </c>
      <c r="Z34" s="15">
        <f t="shared" ref="Z34:Z37" si="3">Z33+50</f>
        <v>18750</v>
      </c>
      <c r="AA34" s="5">
        <f>SUMIF('NIFTY Next Expiry'!$C$2:$C$69,Analysis!Z34,'NIFTY Next Expiry'!$K$2:$K$69)</f>
        <v>140</v>
      </c>
      <c r="AB34" s="5">
        <f>SUMIF('NIFTY Next Expiry'!$C$2:$C$69,Analysis!Z34,'NIFTY Next Expiry'!$L$2:$L$69)</f>
        <v>41.2</v>
      </c>
      <c r="AC34" s="38">
        <f>SUMIF('NIFTY Next Expiry'!$C$2:$C$69,Analysis!Z34,'NIFTY Next Expiry'!$M$2:$M$69)</f>
        <v>41.700404858299599</v>
      </c>
      <c r="AD34" s="5">
        <f>SUMIF('NIFTY Next Expiry'!$C$2:$C$69,Analysis!Z34,'NIFTY Next Expiry'!$F$2:$F$69)</f>
        <v>4259</v>
      </c>
      <c r="AE34" s="5">
        <f>SUMIF('NIFTY Next Expiry'!$C$2:$C$69,Analysis!Z34,'NIFTY Next Expiry'!$I$2:$I$69)</f>
        <v>60472</v>
      </c>
      <c r="AF34" s="20">
        <f>SUMIF('NIFTY Next Expiry'!$C$2:$C$69,Analysis!Z34,'NIFTY Next Expiry'!$G$2:$G$69)</f>
        <v>2485</v>
      </c>
      <c r="AG34" s="29">
        <f>SUMIF('NIFTY Next Expiry'!$C$2:$C$69,Analysis!Z34,'NIFTY Next Expiry'!$H$2:$H$69)</f>
        <v>140.07891770011273</v>
      </c>
    </row>
    <row r="35" spans="2:33" ht="15.75" thickBot="1" x14ac:dyDescent="0.3">
      <c r="C35" s="61" t="s">
        <v>41</v>
      </c>
      <c r="D35" s="62"/>
      <c r="E35" s="35">
        <f>MAX(B24:B30)</f>
        <v>353.81944444444446</v>
      </c>
      <c r="F35" s="12">
        <f>VLOOKUP(E35,$B$24:$I$30,8,FALSE)</f>
        <v>43600</v>
      </c>
      <c r="J35" s="61" t="s">
        <v>41</v>
      </c>
      <c r="K35" s="62"/>
      <c r="L35" s="62"/>
      <c r="M35" s="62"/>
      <c r="N35" s="35">
        <f>MAX(P24:P30)</f>
        <v>487.29946524064172</v>
      </c>
      <c r="O35" s="12">
        <f>SUMIF($P$24:$P$30,N35,$I$24:$I$30)</f>
        <v>43600</v>
      </c>
      <c r="S35" s="30">
        <f>SUMIF('NIFTY Next Expiry'!$O$2:$O$69,Analysis!Z35,'NIFTY Next Expiry'!$T$2:$T$69)</f>
        <v>119.13488525672776</v>
      </c>
      <c r="T35" s="23">
        <f>SUMIF('NIFTY Next Expiry'!$O$2:$O$69,Analysis!Z35,'NIFTY Next Expiry'!$S$2:$S$69)</f>
        <v>7216</v>
      </c>
      <c r="U35" s="5">
        <f>SUMIF('NIFTY Next Expiry'!$O$2:$O$69,Analysis!Z35,'NIFTY Next Expiry'!$U$2:$U$69)</f>
        <v>123589</v>
      </c>
      <c r="V35" s="5">
        <f>SUMIF('NIFTY Next Expiry'!$O$2:$O$69,Analysis!Z35,'NIFTY Next Expiry'!$R$2:$R$69)</f>
        <v>13273</v>
      </c>
      <c r="W35" s="38">
        <f>SUMIF('NIFTY Next Expiry'!$O$2:$O$69,Analysis!Z35,'NIFTY Next Expiry'!$Y$2:$Y$69)</f>
        <v>-44.618898087353699</v>
      </c>
      <c r="X35" s="5">
        <f>SUMIF('NIFTY Next Expiry'!$O$2:$O$69,Analysis!Z35,'NIFTY Next Expiry'!$X$2:$X$69)</f>
        <v>-78.150000000000006</v>
      </c>
      <c r="Y35" s="5">
        <f>SUMIF('NIFTY Next Expiry'!$O$2:$O$69,Analysis!Z35,'NIFTY Next Expiry'!$W$2:$W$69)</f>
        <v>97</v>
      </c>
      <c r="Z35" s="15">
        <f t="shared" si="3"/>
        <v>18800</v>
      </c>
      <c r="AA35" s="5">
        <f>SUMIF('NIFTY Next Expiry'!$C$2:$C$69,Analysis!Z35,'NIFTY Next Expiry'!$K$2:$K$69)</f>
        <v>167</v>
      </c>
      <c r="AB35" s="5">
        <f>SUMIF('NIFTY Next Expiry'!$C$2:$C$69,Analysis!Z35,'NIFTY Next Expiry'!$L$2:$L$69)</f>
        <v>49.849999999999994</v>
      </c>
      <c r="AC35" s="38">
        <f>SUMIF('NIFTY Next Expiry'!$C$2:$C$69,Analysis!Z35,'NIFTY Next Expiry'!$M$2:$M$69)</f>
        <v>42.552283397353811</v>
      </c>
      <c r="AD35" s="5">
        <f>SUMIF('NIFTY Next Expiry'!$C$2:$C$69,Analysis!Z35,'NIFTY Next Expiry'!$F$2:$F$69)</f>
        <v>7487</v>
      </c>
      <c r="AE35" s="5">
        <f>SUMIF('NIFTY Next Expiry'!$C$2:$C$69,Analysis!Z35,'NIFTY Next Expiry'!$I$2:$I$69)</f>
        <v>81254</v>
      </c>
      <c r="AF35" s="20">
        <f>SUMIF('NIFTY Next Expiry'!$C$2:$C$69,Analysis!Z35,'NIFTY Next Expiry'!$G$2:$G$69)</f>
        <v>-771</v>
      </c>
      <c r="AG35" s="29">
        <f>SUMIF('NIFTY Next Expiry'!$C$2:$C$69,Analysis!Z35,'NIFTY Next Expiry'!$H$2:$H$69)</f>
        <v>-9.3364010656333232</v>
      </c>
    </row>
    <row r="36" spans="2:33" x14ac:dyDescent="0.25">
      <c r="S36" s="30">
        <f>SUMIF('NIFTY Next Expiry'!$O$2:$O$69,Analysis!Z36,'NIFTY Next Expiry'!$T$2:$T$69)</f>
        <v>145.6243854473943</v>
      </c>
      <c r="T36" s="23">
        <f>SUMIF('NIFTY Next Expiry'!$O$2:$O$69,Analysis!Z36,'NIFTY Next Expiry'!$S$2:$S$69)</f>
        <v>2962</v>
      </c>
      <c r="U36" s="5">
        <f>SUMIF('NIFTY Next Expiry'!$O$2:$O$69,Analysis!Z36,'NIFTY Next Expiry'!$U$2:$U$69)</f>
        <v>38724</v>
      </c>
      <c r="V36" s="5">
        <f>SUMIF('NIFTY Next Expiry'!$O$2:$O$69,Analysis!Z36,'NIFTY Next Expiry'!$R$2:$R$69)</f>
        <v>4996</v>
      </c>
      <c r="W36" s="38">
        <f>SUMIF('NIFTY Next Expiry'!$O$2:$O$69,Analysis!Z36,'NIFTY Next Expiry'!$Y$2:$Y$69)</f>
        <v>-46.719070403280931</v>
      </c>
      <c r="X36" s="5">
        <f>SUMIF('NIFTY Next Expiry'!$O$2:$O$69,Analysis!Z36,'NIFTY Next Expiry'!$X$2:$X$69)</f>
        <v>-68.350000000000009</v>
      </c>
      <c r="Y36" s="5">
        <f>SUMIF('NIFTY Next Expiry'!$O$2:$O$69,Analysis!Z36,'NIFTY Next Expiry'!$W$2:$W$69)</f>
        <v>77.95</v>
      </c>
      <c r="Z36" s="15">
        <f t="shared" si="3"/>
        <v>18850</v>
      </c>
      <c r="AA36" s="5">
        <f>SUMIF('NIFTY Next Expiry'!$C$2:$C$69,Analysis!Z36,'NIFTY Next Expiry'!$K$2:$K$69)</f>
        <v>195.85</v>
      </c>
      <c r="AB36" s="5">
        <f>SUMIF('NIFTY Next Expiry'!$C$2:$C$69,Analysis!Z36,'NIFTY Next Expiry'!$L$2:$L$69)</f>
        <v>56.299999999999983</v>
      </c>
      <c r="AC36" s="38">
        <f>SUMIF('NIFTY Next Expiry'!$C$2:$C$69,Analysis!Z36,'NIFTY Next Expiry'!$M$2:$M$69)</f>
        <v>40.343962737370106</v>
      </c>
      <c r="AD36" s="5">
        <f>SUMIF('NIFTY Next Expiry'!$C$2:$C$69,Analysis!Z36,'NIFTY Next Expiry'!$F$2:$F$69)</f>
        <v>1131</v>
      </c>
      <c r="AE36" s="5">
        <f>SUMIF('NIFTY Next Expiry'!$C$2:$C$69,Analysis!Z36,'NIFTY Next Expiry'!$I$2:$I$69)</f>
        <v>13447</v>
      </c>
      <c r="AF36" s="20">
        <f>SUMIF('NIFTY Next Expiry'!$C$2:$C$69,Analysis!Z36,'NIFTY Next Expiry'!$G$2:$G$69)</f>
        <v>-381</v>
      </c>
      <c r="AG36" s="29">
        <f>SUMIF('NIFTY Next Expiry'!$C$2:$C$69,Analysis!Z36,'NIFTY Next Expiry'!$H$2:$H$69)</f>
        <v>-25.198412698412699</v>
      </c>
    </row>
    <row r="37" spans="2:33" ht="15.75" thickBot="1" x14ac:dyDescent="0.3">
      <c r="S37" s="57">
        <f>SUMIF('NIFTY Next Expiry'!$O$2:$O$69,Analysis!Z37,'NIFTY Next Expiry'!$T$2:$T$69)</f>
        <v>82.847596064599969</v>
      </c>
      <c r="T37" s="58">
        <f>SUMIF('NIFTY Next Expiry'!$O$2:$O$69,Analysis!Z37,'NIFTY Next Expiry'!$S$2:$S$69)</f>
        <v>4463</v>
      </c>
      <c r="U37" s="41">
        <f>SUMIF('NIFTY Next Expiry'!$O$2:$O$69,Analysis!Z37,'NIFTY Next Expiry'!$U$2:$U$69)</f>
        <v>58664</v>
      </c>
      <c r="V37" s="41">
        <f>SUMIF('NIFTY Next Expiry'!$O$2:$O$69,Analysis!Z37,'NIFTY Next Expiry'!$R$2:$R$69)</f>
        <v>9850</v>
      </c>
      <c r="W37" s="40">
        <f>SUMIF('NIFTY Next Expiry'!$O$2:$O$69,Analysis!Z37,'NIFTY Next Expiry'!$Y$2:$Y$69)</f>
        <v>-50.829187396351571</v>
      </c>
      <c r="X37" s="41">
        <f>SUMIF('NIFTY Next Expiry'!$O$2:$O$69,Analysis!Z37,'NIFTY Next Expiry'!$X$2:$X$69)</f>
        <v>-61.3</v>
      </c>
      <c r="Y37" s="41">
        <f>SUMIF('NIFTY Next Expiry'!$O$2:$O$69,Analysis!Z37,'NIFTY Next Expiry'!$W$2:$W$69)</f>
        <v>59.3</v>
      </c>
      <c r="Z37" s="34">
        <f t="shared" si="3"/>
        <v>18900</v>
      </c>
      <c r="AA37" s="41">
        <f>SUMIF('NIFTY Next Expiry'!$C$2:$C$69,Analysis!Z37,'NIFTY Next Expiry'!$K$2:$K$69)</f>
        <v>227.9</v>
      </c>
      <c r="AB37" s="41">
        <f>SUMIF('NIFTY Next Expiry'!$C$2:$C$69,Analysis!Z37,'NIFTY Next Expiry'!$L$2:$L$69)</f>
        <v>65.700000000000017</v>
      </c>
      <c r="AC37" s="40">
        <f>SUMIF('NIFTY Next Expiry'!$C$2:$C$69,Analysis!Z37,'NIFTY Next Expiry'!$M$2:$M$69)</f>
        <v>40.505548705302111</v>
      </c>
      <c r="AD37" s="41">
        <f>SUMIF('NIFTY Next Expiry'!$C$2:$C$69,Analysis!Z37,'NIFTY Next Expiry'!$F$2:$F$69)</f>
        <v>2441</v>
      </c>
      <c r="AE37" s="41">
        <f>SUMIF('NIFTY Next Expiry'!$C$2:$C$69,Analysis!Z37,'NIFTY Next Expiry'!$I$2:$I$69)</f>
        <v>21596</v>
      </c>
      <c r="AF37" s="59">
        <f>SUMIF('NIFTY Next Expiry'!$C$2:$C$69,Analysis!Z37,'NIFTY Next Expiry'!$G$2:$G$69)</f>
        <v>-550</v>
      </c>
      <c r="AG37" s="60">
        <f>SUMIF('NIFTY Next Expiry'!$C$2:$C$69,Analysis!Z37,'NIFTY Next Expiry'!$H$2:$H$69)</f>
        <v>-18.388498829822801</v>
      </c>
    </row>
    <row r="38" spans="2:33" ht="15.75" thickBot="1" x14ac:dyDescent="0.3"/>
    <row r="39" spans="2:33" ht="15.75" thickBot="1" x14ac:dyDescent="0.3">
      <c r="T39" s="66" t="s">
        <v>34</v>
      </c>
      <c r="U39" s="67"/>
      <c r="V39" s="68"/>
      <c r="W39" s="10" t="s">
        <v>30</v>
      </c>
      <c r="AA39" s="66" t="s">
        <v>35</v>
      </c>
      <c r="AB39" s="67"/>
      <c r="AC39" s="67"/>
      <c r="AD39" s="67"/>
      <c r="AE39" s="68"/>
      <c r="AF39" s="10" t="s">
        <v>30</v>
      </c>
    </row>
    <row r="40" spans="2:33" ht="19.5" thickBot="1" x14ac:dyDescent="0.35">
      <c r="C40" s="74" t="s">
        <v>31</v>
      </c>
      <c r="D40" s="75"/>
      <c r="H40" s="3" t="s">
        <v>32</v>
      </c>
      <c r="I40" s="7">
        <f>'BANKNIFTY Monthly Expiry'!N85</f>
        <v>43622.9</v>
      </c>
      <c r="L40" t="s">
        <v>47</v>
      </c>
      <c r="M40" s="17" t="s">
        <v>42</v>
      </c>
      <c r="N40" s="15" t="str">
        <f>'BANKNIFTY Monthly Expiry'!B85</f>
        <v>27-Jul-2023</v>
      </c>
      <c r="T40" s="64" t="s">
        <v>36</v>
      </c>
      <c r="U40" s="65"/>
      <c r="V40" s="13">
        <f>MAX(V27:V37)</f>
        <v>13273</v>
      </c>
      <c r="W40" s="11">
        <f>VLOOKUP(V40,$V$27:$Z$37,5,FALSE)</f>
        <v>18800</v>
      </c>
      <c r="AA40" s="64" t="s">
        <v>36</v>
      </c>
      <c r="AB40" s="73"/>
      <c r="AC40" s="73"/>
      <c r="AD40" s="65"/>
      <c r="AE40" s="11">
        <f>MAX(AD27:AD37)</f>
        <v>15422</v>
      </c>
      <c r="AF40" s="1">
        <f>SUMIF($AD$27:$AD$37,AE40,$Z$27:$Z$37)</f>
        <v>18500</v>
      </c>
    </row>
    <row r="41" spans="2:33" ht="15.75" thickBot="1" x14ac:dyDescent="0.3">
      <c r="C41" s="77" t="s">
        <v>34</v>
      </c>
      <c r="D41" s="78"/>
      <c r="E41" s="62"/>
      <c r="F41" s="78"/>
      <c r="G41" s="78"/>
      <c r="H41" s="78"/>
      <c r="I41" s="9"/>
      <c r="J41" s="76" t="s">
        <v>35</v>
      </c>
      <c r="K41" s="76"/>
      <c r="L41" s="76"/>
      <c r="M41" s="63"/>
      <c r="N41" s="63"/>
      <c r="O41" s="63"/>
      <c r="T41" s="69" t="s">
        <v>37</v>
      </c>
      <c r="U41" s="70"/>
      <c r="V41" s="14">
        <f>MAX(T27:T37)</f>
        <v>7351</v>
      </c>
      <c r="W41" s="12">
        <f>VLOOKUP(V41,$T$27:$Z$37,7,FALSE)</f>
        <v>18700</v>
      </c>
      <c r="AA41" s="69" t="s">
        <v>37</v>
      </c>
      <c r="AB41" s="62"/>
      <c r="AC41" s="62"/>
      <c r="AD41" s="70"/>
      <c r="AE41" s="12">
        <f>MAX(AF27:AF37)</f>
        <v>5846</v>
      </c>
      <c r="AF41" s="14">
        <f>SUMIF($AF$27:$AF$37,AE41,$Z$27:$Z$37)</f>
        <v>18500</v>
      </c>
    </row>
    <row r="42" spans="2:33" ht="15.75" thickBot="1" x14ac:dyDescent="0.3">
      <c r="B42" s="6" t="s">
        <v>38</v>
      </c>
      <c r="C42" s="25" t="s">
        <v>27</v>
      </c>
      <c r="D42" s="6" t="s">
        <v>26</v>
      </c>
      <c r="E42" s="6" t="s">
        <v>28</v>
      </c>
      <c r="F42" s="6" t="s">
        <v>44</v>
      </c>
      <c r="G42" s="6" t="s">
        <v>43</v>
      </c>
      <c r="H42" s="6" t="s">
        <v>29</v>
      </c>
      <c r="I42" s="6" t="s">
        <v>30</v>
      </c>
      <c r="J42" s="6" t="s">
        <v>29</v>
      </c>
      <c r="K42" s="6" t="s">
        <v>43</v>
      </c>
      <c r="L42" s="6" t="s">
        <v>44</v>
      </c>
      <c r="M42" s="6" t="s">
        <v>28</v>
      </c>
      <c r="N42" s="6" t="s">
        <v>26</v>
      </c>
      <c r="O42" s="6" t="s">
        <v>27</v>
      </c>
      <c r="P42" s="18" t="s">
        <v>38</v>
      </c>
      <c r="T42" s="61" t="s">
        <v>41</v>
      </c>
      <c r="U42" s="62"/>
      <c r="V42" s="35">
        <f>MAX(S27:S37)</f>
        <v>2933.3333333333335</v>
      </c>
      <c r="W42" s="12">
        <f>VLOOKUP(V42,$S$27:$Z$37,8,FALSE)</f>
        <v>18450</v>
      </c>
      <c r="AA42" s="61" t="s">
        <v>41</v>
      </c>
      <c r="AB42" s="62"/>
      <c r="AC42" s="62"/>
      <c r="AD42" s="62"/>
      <c r="AE42" s="35">
        <f>MAX(AG27:AG37)</f>
        <v>211.13636363636363</v>
      </c>
      <c r="AF42" s="12">
        <f>SUMIF($AG$27:$AG$37,AE42,$Z$27:$Z$37)</f>
        <v>18450</v>
      </c>
    </row>
    <row r="43" spans="2:33" x14ac:dyDescent="0.25">
      <c r="B43" s="56">
        <f>SUMIF('BANKNIFTY Monthly Expiry'!$C$2:$C$85,Analysis!I43,'BANKNIFTY Monthly Expiry'!$H$2:$H$85)</f>
        <v>16.260162601626018</v>
      </c>
      <c r="C43" s="42">
        <f>SUMIF('BANKNIFTY Monthly Expiry'!$C$2:$C$85,Analysis!I43,'BANKNIFTY Monthly Expiry'!$G$2:$G$85)</f>
        <v>20</v>
      </c>
      <c r="D43" s="37">
        <f>SUMIF('BANKNIFTY Monthly Expiry'!$C$2:$C$85,Analysis!I43,'BANKNIFTY Monthly Expiry'!$I$2:$I$85)</f>
        <v>94</v>
      </c>
      <c r="E43" s="37">
        <f>SUMIF('BANKNIFTY Monthly Expiry'!$C$2:$C$85,Analysis!I43,'BANKNIFTY Monthly Expiry'!$F$2:$F$85)</f>
        <v>143</v>
      </c>
      <c r="F43" s="36">
        <f>SUMIF('BANKNIFTY Monthly Expiry'!$C$2:$C$85,Analysis!I43,'BANKNIFTY Monthly Expiry'!$M$2:$M$85)</f>
        <v>-12.297297297297302</v>
      </c>
      <c r="G43" s="37">
        <f>SUMIF('BANKNIFTY Monthly Expiry'!$C$2:$C$85,Analysis!I43,'BANKNIFTY Monthly Expiry'!$L$2:$L$85)</f>
        <v>-131.95000000000005</v>
      </c>
      <c r="H43" s="37">
        <f>SUMIF('BANKNIFTY Monthly Expiry'!$C$2:$C$85,Analysis!I43,'BANKNIFTY Monthly Expiry'!$K$2:$K$85)</f>
        <v>941.05</v>
      </c>
      <c r="I43" s="31">
        <f>I44-100</f>
        <v>43300</v>
      </c>
      <c r="J43" s="37">
        <f>SUMIF('BANKNIFTY Monthly Expiry'!$O$2:$O$85,Analysis!I43,'BANKNIFTY Monthly Expiry'!$W$2:$W$85)</f>
        <v>415.35</v>
      </c>
      <c r="K43" s="37">
        <f>SUMIF('BANKNIFTY Monthly Expiry'!$O$2:$O$85,Analysis!I43,'BANKNIFTY Monthly Expiry'!$X$2:$X$85)</f>
        <v>-3.75</v>
      </c>
      <c r="L43" s="36">
        <f>SUMIF('BANKNIFTY Monthly Expiry'!$O$2:$O$85,Analysis!I43,'BANKNIFTY Monthly Expiry'!$Y$2:$Y$85)</f>
        <v>-0.89477451682176079</v>
      </c>
      <c r="M43" s="37">
        <f>SUMIF('BANKNIFTY Monthly Expiry'!$O$2:$O$85,Analysis!I43,'BANKNIFTY Monthly Expiry'!$R$2:$R$85)</f>
        <v>1021</v>
      </c>
      <c r="N43" s="37">
        <f>SUMIF('BANKNIFTY Monthly Expiry'!$O$2:$O$85,Analysis!I43,'BANKNIFTY Monthly Expiry'!$U$2:$U$85)</f>
        <v>1811</v>
      </c>
      <c r="O43" s="50">
        <f>SUMIF('BANKNIFTY Monthly Expiry'!$O$2:$O$85,Analysis!I43,'BANKNIFTY Monthly Expiry'!$S$2:$S$85)</f>
        <v>545</v>
      </c>
      <c r="P43" s="51">
        <f>SUMIF('BANKNIFTY Monthly Expiry'!$O$2:$O$85,Analysis!I43,'BANKNIFTY Monthly Expiry'!$T$2:$T$85)</f>
        <v>114.49579831932772</v>
      </c>
    </row>
    <row r="44" spans="2:33" x14ac:dyDescent="0.25">
      <c r="B44" s="30">
        <f>SUMIF('BANKNIFTY Monthly Expiry'!$C$2:$C$85,Analysis!I44,'BANKNIFTY Monthly Expiry'!$H$2:$H$85)</f>
        <v>-8.7087087087087092</v>
      </c>
      <c r="C44" s="3">
        <f>SUMIF('BANKNIFTY Monthly Expiry'!$C$2:$C$85,Analysis!I44,'BANKNIFTY Monthly Expiry'!$G$2:$G$85)</f>
        <v>-29</v>
      </c>
      <c r="D44" s="3">
        <f>SUMIF('BANKNIFTY Monthly Expiry'!$C$2:$C$85,Analysis!I44,'BANKNIFTY Monthly Expiry'!$I$2:$I$85)</f>
        <v>637</v>
      </c>
      <c r="E44" s="3">
        <f>SUMIF('BANKNIFTY Monthly Expiry'!$C$2:$C$85,Analysis!I44,'BANKNIFTY Monthly Expiry'!$F$2:$F$85)</f>
        <v>304</v>
      </c>
      <c r="F44" s="39">
        <f>SUMIF('BANKNIFTY Monthly Expiry'!$C$2:$C$85,Analysis!I44,'BANKNIFTY Monthly Expiry'!$M$2:$M$85)</f>
        <v>-10.550845356735593</v>
      </c>
      <c r="G44" s="3">
        <f>SUMIF('BANKNIFTY Monthly Expiry'!$C$2:$C$85,Analysis!I44,'BANKNIFTY Monthly Expiry'!$L$2:$L$85)</f>
        <v>-106.40000000000008</v>
      </c>
      <c r="H44" s="3">
        <f>SUMIF('BANKNIFTY Monthly Expiry'!$C$2:$C$85,Analysis!I44,'BANKNIFTY Monthly Expiry'!$K$2:$K$85)</f>
        <v>902.05</v>
      </c>
      <c r="I44" s="53">
        <f>I45-100</f>
        <v>43400</v>
      </c>
      <c r="J44" s="3">
        <f>SUMIF('BANKNIFTY Monthly Expiry'!$O$2:$O$85,Analysis!I44,'BANKNIFTY Monthly Expiry'!$W$2:$W$85)</f>
        <v>446.65</v>
      </c>
      <c r="K44" s="3">
        <f>SUMIF('BANKNIFTY Monthly Expiry'!$O$2:$O$85,Analysis!I44,'BANKNIFTY Monthly Expiry'!$X$2:$X$85)</f>
        <v>-3.1000000000000227</v>
      </c>
      <c r="L44" s="39">
        <f>SUMIF('BANKNIFTY Monthly Expiry'!$O$2:$O$85,Analysis!I44,'BANKNIFTY Monthly Expiry'!$Y$2:$Y$85)</f>
        <v>-0.68927181767649204</v>
      </c>
      <c r="M44" s="3">
        <f>SUMIF('BANKNIFTY Monthly Expiry'!$O$2:$O$85,Analysis!I44,'BANKNIFTY Monthly Expiry'!$R$2:$R$85)</f>
        <v>804</v>
      </c>
      <c r="N44" s="3">
        <f>SUMIF('BANKNIFTY Monthly Expiry'!$O$2:$O$85,Analysis!I44,'BANKNIFTY Monthly Expiry'!$U$2:$U$85)</f>
        <v>1734</v>
      </c>
      <c r="O44" s="3">
        <f>SUMIF('BANKNIFTY Monthly Expiry'!$O$2:$O$85,Analysis!I44,'BANKNIFTY Monthly Expiry'!$S$2:$S$85)</f>
        <v>155</v>
      </c>
      <c r="P44" s="52">
        <f>SUMIF('BANKNIFTY Monthly Expiry'!$O$2:$O$85,Analysis!I44,'BANKNIFTY Monthly Expiry'!$T$2:$T$85)</f>
        <v>23.882896764252695</v>
      </c>
    </row>
    <row r="45" spans="2:33" ht="15.75" thickBot="1" x14ac:dyDescent="0.3">
      <c r="B45" s="30">
        <f>SUMIF('BANKNIFTY Monthly Expiry'!$C$2:$C$85,Analysis!I45,'BANKNIFTY Monthly Expiry'!$H$2:$H$85)</f>
        <v>37.613636363636367</v>
      </c>
      <c r="C45" s="3">
        <f>SUMIF('BANKNIFTY Monthly Expiry'!$C$2:$C$85,Analysis!I45,'BANKNIFTY Monthly Expiry'!$G$2:$G$85)</f>
        <v>2317</v>
      </c>
      <c r="D45" s="3">
        <f>SUMIF('BANKNIFTY Monthly Expiry'!$C$2:$C$85,Analysis!I45,'BANKNIFTY Monthly Expiry'!$I$2:$I$85)</f>
        <v>15643</v>
      </c>
      <c r="E45" s="3">
        <f>SUMIF('BANKNIFTY Monthly Expiry'!$C$2:$C$85,Analysis!I45,'BANKNIFTY Monthly Expiry'!$F$2:$F$85)</f>
        <v>8477</v>
      </c>
      <c r="F45" s="39">
        <f>SUMIF('BANKNIFTY Monthly Expiry'!$C$2:$C$85,Analysis!I45,'BANKNIFTY Monthly Expiry'!$M$2:$M$85)</f>
        <v>-12.568885120813905</v>
      </c>
      <c r="G45" s="3">
        <f>SUMIF('BANKNIFTY Monthly Expiry'!$C$2:$C$85,Analysis!I45,'BANKNIFTY Monthly Expiry'!$L$2:$L$85)</f>
        <v>-118.60000000000002</v>
      </c>
      <c r="H45" s="3">
        <f>SUMIF('BANKNIFTY Monthly Expiry'!$C$2:$C$85,Analysis!I45,'BANKNIFTY Monthly Expiry'!$K$2:$K$85)</f>
        <v>825</v>
      </c>
      <c r="I45" s="54">
        <f>I46-100</f>
        <v>43500</v>
      </c>
      <c r="J45" s="3">
        <f>SUMIF('BANKNIFTY Monthly Expiry'!$O$2:$O$85,Analysis!I45,'BANKNIFTY Monthly Expiry'!$W$2:$W$85)</f>
        <v>483.2</v>
      </c>
      <c r="K45" s="3">
        <f>SUMIF('BANKNIFTY Monthly Expiry'!$O$2:$O$85,Analysis!I45,'BANKNIFTY Monthly Expiry'!$X$2:$X$85)</f>
        <v>-4.25</v>
      </c>
      <c r="L45" s="39">
        <f>SUMIF('BANKNIFTY Monthly Expiry'!$O$2:$O$85,Analysis!I45,'BANKNIFTY Monthly Expiry'!$Y$2:$Y$85)</f>
        <v>-0.87188429582521276</v>
      </c>
      <c r="M45" s="3">
        <f>SUMIF('BANKNIFTY Monthly Expiry'!$O$2:$O$85,Analysis!I45,'BANKNIFTY Monthly Expiry'!$R$2:$R$85)</f>
        <v>26494</v>
      </c>
      <c r="N45" s="3">
        <f>SUMIF('BANKNIFTY Monthly Expiry'!$O$2:$O$85,Analysis!I45,'BANKNIFTY Monthly Expiry'!$U$2:$U$85)</f>
        <v>47263</v>
      </c>
      <c r="O45" s="3">
        <f>SUMIF('BANKNIFTY Monthly Expiry'!$O$2:$O$85,Analysis!I45,'BANKNIFTY Monthly Expiry'!$S$2:$S$85)</f>
        <v>13023</v>
      </c>
      <c r="P45" s="52">
        <f>SUMIF('BANKNIFTY Monthly Expiry'!$O$2:$O$85,Analysis!I45,'BANKNIFTY Monthly Expiry'!$T$2:$T$85)</f>
        <v>96.674337465666994</v>
      </c>
    </row>
    <row r="46" spans="2:33" ht="19.5" thickBot="1" x14ac:dyDescent="0.35">
      <c r="B46" s="30">
        <f>SUMIF('BANKNIFTY Monthly Expiry'!$C$2:$C$85,Analysis!I46,'BANKNIFTY Monthly Expiry'!$H$2:$H$85)</f>
        <v>175.95818815331012</v>
      </c>
      <c r="C46" s="3">
        <f>SUMIF('BANKNIFTY Monthly Expiry'!$C$2:$C$85,Analysis!I46,'BANKNIFTY Monthly Expiry'!$G$2:$G$85)</f>
        <v>505</v>
      </c>
      <c r="D46" s="3">
        <f>SUMIF('BANKNIFTY Monthly Expiry'!$C$2:$C$85,Analysis!I46,'BANKNIFTY Monthly Expiry'!$I$2:$I$85)</f>
        <v>2682</v>
      </c>
      <c r="E46" s="3">
        <f>SUMIF('BANKNIFTY Monthly Expiry'!$C$2:$C$85,Analysis!I46,'BANKNIFTY Monthly Expiry'!$F$2:$F$85)</f>
        <v>792</v>
      </c>
      <c r="F46" s="39">
        <f>SUMIF('BANKNIFTY Monthly Expiry'!$C$2:$C$85,Analysis!I46,'BANKNIFTY Monthly Expiry'!$M$2:$M$85)</f>
        <v>-13.210436755530347</v>
      </c>
      <c r="G46" s="3">
        <f>SUMIF('BANKNIFTY Monthly Expiry'!$C$2:$C$85,Analysis!I46,'BANKNIFTY Monthly Expiry'!$L$2:$L$85)</f>
        <v>-116.45000000000005</v>
      </c>
      <c r="H46" s="48">
        <f>SUMIF('BANKNIFTY Monthly Expiry'!$C$2:$C$85,Analysis!I46,'BANKNIFTY Monthly Expiry'!$K$2:$K$85)</f>
        <v>765.05</v>
      </c>
      <c r="I46" s="16">
        <f>ROUND('BANKNIFTY Monthly Expiry'!N85/100,0)*100</f>
        <v>43600</v>
      </c>
      <c r="J46" s="49">
        <f>SUMIF('BANKNIFTY Monthly Expiry'!$O$2:$O$85,Analysis!I46,'BANKNIFTY Monthly Expiry'!$W$2:$W$85)</f>
        <v>516.70000000000005</v>
      </c>
      <c r="K46" s="3">
        <f>SUMIF('BANKNIFTY Monthly Expiry'!$O$2:$O$85,Analysis!I46,'BANKNIFTY Monthly Expiry'!$X$2:$X$85)</f>
        <v>-9.75</v>
      </c>
      <c r="L46" s="39">
        <f>SUMIF('BANKNIFTY Monthly Expiry'!$O$2:$O$85,Analysis!I46,'BANKNIFTY Monthly Expiry'!$Y$2:$Y$85)</f>
        <v>-1.8520277329281032</v>
      </c>
      <c r="M46" s="3">
        <f>SUMIF('BANKNIFTY Monthly Expiry'!$O$2:$O$85,Analysis!I46,'BANKNIFTY Monthly Expiry'!$R$2:$R$85)</f>
        <v>1151</v>
      </c>
      <c r="N46" s="3">
        <f>SUMIF('BANKNIFTY Monthly Expiry'!$O$2:$O$85,Analysis!I46,'BANKNIFTY Monthly Expiry'!$U$2:$U$85)</f>
        <v>5548</v>
      </c>
      <c r="O46" s="3">
        <f>SUMIF('BANKNIFTY Monthly Expiry'!$O$2:$O$85,Analysis!I46,'BANKNIFTY Monthly Expiry'!$S$2:$S$85)</f>
        <v>641</v>
      </c>
      <c r="P46" s="52">
        <f>SUMIF('BANKNIFTY Monthly Expiry'!$O$2:$O$85,Analysis!I46,'BANKNIFTY Monthly Expiry'!$T$2:$T$85)</f>
        <v>125.68627450980392</v>
      </c>
      <c r="T46" s="74" t="s">
        <v>33</v>
      </c>
      <c r="U46" s="75"/>
      <c r="Y46" s="3" t="s">
        <v>32</v>
      </c>
      <c r="Z46" s="8">
        <f>'NIFTY Monthly Expiry'!N81</f>
        <v>18665.5</v>
      </c>
      <c r="AC46" t="s">
        <v>47</v>
      </c>
      <c r="AD46" s="17" t="s">
        <v>42</v>
      </c>
      <c r="AE46" s="15" t="str">
        <f>'NIFTY Monthly Expiry'!B81</f>
        <v>27-Jul-2023</v>
      </c>
    </row>
    <row r="47" spans="2:33" ht="15.75" thickBot="1" x14ac:dyDescent="0.3">
      <c r="B47" s="30">
        <f>SUMIF('BANKNIFTY Monthly Expiry'!$C$2:$C$85,Analysis!I47,'BANKNIFTY Monthly Expiry'!$H$2:$H$85)</f>
        <v>109.54692556634303</v>
      </c>
      <c r="C47" s="3">
        <f>SUMIF('BANKNIFTY Monthly Expiry'!$C$2:$C$85,Analysis!I47,'BANKNIFTY Monthly Expiry'!$G$2:$G$85)</f>
        <v>677</v>
      </c>
      <c r="D47" s="3">
        <f>SUMIF('BANKNIFTY Monthly Expiry'!$C$2:$C$85,Analysis!I47,'BANKNIFTY Monthly Expiry'!$I$2:$I$85)</f>
        <v>3321</v>
      </c>
      <c r="E47" s="3">
        <f>SUMIF('BANKNIFTY Monthly Expiry'!$C$2:$C$85,Analysis!I47,'BANKNIFTY Monthly Expiry'!$F$2:$F$85)</f>
        <v>1295</v>
      </c>
      <c r="F47" s="39">
        <f>SUMIF('BANKNIFTY Monthly Expiry'!$C$2:$C$85,Analysis!I47,'BANKNIFTY Monthly Expiry'!$M$2:$M$85)</f>
        <v>-13.566739606126918</v>
      </c>
      <c r="G47" s="3">
        <f>SUMIF('BANKNIFTY Monthly Expiry'!$C$2:$C$85,Analysis!I47,'BANKNIFTY Monthly Expiry'!$L$2:$L$85)</f>
        <v>-111.60000000000002</v>
      </c>
      <c r="H47" s="3">
        <f>SUMIF('BANKNIFTY Monthly Expiry'!$C$2:$C$85,Analysis!I47,'BANKNIFTY Monthly Expiry'!$K$2:$K$85)</f>
        <v>711</v>
      </c>
      <c r="I47" s="55">
        <f>I46+100</f>
        <v>43700</v>
      </c>
      <c r="J47" s="3">
        <f>SUMIF('BANKNIFTY Monthly Expiry'!$O$2:$O$85,Analysis!I47,'BANKNIFTY Monthly Expiry'!$W$2:$W$85)</f>
        <v>574.35</v>
      </c>
      <c r="K47" s="3">
        <f>SUMIF('BANKNIFTY Monthly Expiry'!$O$2:$O$85,Analysis!I47,'BANKNIFTY Monthly Expiry'!$X$2:$X$85)</f>
        <v>10.25</v>
      </c>
      <c r="L47" s="39">
        <f>SUMIF('BANKNIFTY Monthly Expiry'!$O$2:$O$85,Analysis!I47,'BANKNIFTY Monthly Expiry'!$Y$2:$Y$85)</f>
        <v>1.8170537138805176</v>
      </c>
      <c r="M47" s="3">
        <f>SUMIF('BANKNIFTY Monthly Expiry'!$O$2:$O$85,Analysis!I47,'BANKNIFTY Monthly Expiry'!$R$2:$R$85)</f>
        <v>2602</v>
      </c>
      <c r="N47" s="3">
        <f>SUMIF('BANKNIFTY Monthly Expiry'!$O$2:$O$85,Analysis!I47,'BANKNIFTY Monthly Expiry'!$U$2:$U$85)</f>
        <v>10291</v>
      </c>
      <c r="O47" s="3">
        <f>SUMIF('BANKNIFTY Monthly Expiry'!$O$2:$O$85,Analysis!I47,'BANKNIFTY Monthly Expiry'!$S$2:$S$85)</f>
        <v>1267</v>
      </c>
      <c r="P47" s="52">
        <f>SUMIF('BANKNIFTY Monthly Expiry'!$O$2:$O$85,Analysis!I47,'BANKNIFTY Monthly Expiry'!$T$2:$T$85)</f>
        <v>94.906367041198521</v>
      </c>
      <c r="T47" s="79" t="s">
        <v>34</v>
      </c>
      <c r="U47" s="79"/>
      <c r="V47" s="63"/>
      <c r="W47" s="79"/>
      <c r="X47" s="79"/>
      <c r="Y47" s="79"/>
      <c r="Z47" s="2"/>
      <c r="AA47" s="63" t="s">
        <v>35</v>
      </c>
      <c r="AB47" s="63"/>
      <c r="AC47" s="63"/>
      <c r="AD47" s="63"/>
      <c r="AE47" s="63"/>
      <c r="AF47" s="63"/>
    </row>
    <row r="48" spans="2:33" ht="15.75" thickBot="1" x14ac:dyDescent="0.3">
      <c r="B48" s="30">
        <f>SUMIF('BANKNIFTY Monthly Expiry'!$C$2:$C$85,Analysis!I48,'BANKNIFTY Monthly Expiry'!$H$2:$H$85)</f>
        <v>72.046889089269612</v>
      </c>
      <c r="C48" s="3">
        <f>SUMIF('BANKNIFTY Monthly Expiry'!$C$2:$C$85,Analysis!I48,'BANKNIFTY Monthly Expiry'!$G$2:$G$85)</f>
        <v>799</v>
      </c>
      <c r="D48" s="3">
        <f>SUMIF('BANKNIFTY Monthly Expiry'!$C$2:$C$85,Analysis!I48,'BANKNIFTY Monthly Expiry'!$I$2:$I$85)</f>
        <v>4242</v>
      </c>
      <c r="E48" s="3">
        <f>SUMIF('BANKNIFTY Monthly Expiry'!$C$2:$C$85,Analysis!I48,'BANKNIFTY Monthly Expiry'!$F$2:$F$85)</f>
        <v>1908</v>
      </c>
      <c r="F48" s="39">
        <f>SUMIF('BANKNIFTY Monthly Expiry'!$C$2:$C$85,Analysis!I48,'BANKNIFTY Monthly Expiry'!$M$2:$M$85)</f>
        <v>-14.0584246218049</v>
      </c>
      <c r="G48" s="3">
        <f>SUMIF('BANKNIFTY Monthly Expiry'!$C$2:$C$85,Analysis!I48,'BANKNIFTY Monthly Expiry'!$L$2:$L$85)</f>
        <v>-107.79999999999995</v>
      </c>
      <c r="H48" s="3">
        <f>SUMIF('BANKNIFTY Monthly Expiry'!$C$2:$C$85,Analysis!I48,'BANKNIFTY Monthly Expiry'!$K$2:$K$85)</f>
        <v>659</v>
      </c>
      <c r="I48" s="53">
        <f>I47+100</f>
        <v>43800</v>
      </c>
      <c r="J48" s="3">
        <f>SUMIF('BANKNIFTY Monthly Expiry'!$O$2:$O$85,Analysis!I48,'BANKNIFTY Monthly Expiry'!$W$2:$W$85)</f>
        <v>617.85</v>
      </c>
      <c r="K48" s="3">
        <f>SUMIF('BANKNIFTY Monthly Expiry'!$O$2:$O$85,Analysis!I48,'BANKNIFTY Monthly Expiry'!$X$2:$X$85)</f>
        <v>10.950000000000044</v>
      </c>
      <c r="L48" s="39">
        <f>SUMIF('BANKNIFTY Monthly Expiry'!$O$2:$O$85,Analysis!I48,'BANKNIFTY Monthly Expiry'!$Y$2:$Y$85)</f>
        <v>1.8042511122095972</v>
      </c>
      <c r="M48" s="3">
        <f>SUMIF('BANKNIFTY Monthly Expiry'!$O$2:$O$85,Analysis!I48,'BANKNIFTY Monthly Expiry'!$R$2:$R$85)</f>
        <v>2355</v>
      </c>
      <c r="N48" s="3">
        <f>SUMIF('BANKNIFTY Monthly Expiry'!$O$2:$O$85,Analysis!I48,'BANKNIFTY Monthly Expiry'!$U$2:$U$85)</f>
        <v>7847</v>
      </c>
      <c r="O48" s="3">
        <f>SUMIF('BANKNIFTY Monthly Expiry'!$O$2:$O$85,Analysis!I48,'BANKNIFTY Monthly Expiry'!$S$2:$S$85)</f>
        <v>645</v>
      </c>
      <c r="P48" s="52">
        <f>SUMIF('BANKNIFTY Monthly Expiry'!$O$2:$O$85,Analysis!I48,'BANKNIFTY Monthly Expiry'!$T$2:$T$85)</f>
        <v>37.719298245614034</v>
      </c>
      <c r="S48" s="6" t="s">
        <v>38</v>
      </c>
      <c r="T48" s="25" t="s">
        <v>27</v>
      </c>
      <c r="U48" s="6" t="s">
        <v>26</v>
      </c>
      <c r="V48" s="6" t="s">
        <v>28</v>
      </c>
      <c r="W48" s="6" t="s">
        <v>44</v>
      </c>
      <c r="X48" s="6" t="s">
        <v>43</v>
      </c>
      <c r="Y48" s="6" t="s">
        <v>29</v>
      </c>
      <c r="Z48" s="6" t="s">
        <v>30</v>
      </c>
      <c r="AA48" s="6" t="s">
        <v>29</v>
      </c>
      <c r="AB48" s="6" t="s">
        <v>43</v>
      </c>
      <c r="AC48" s="6" t="s">
        <v>44</v>
      </c>
      <c r="AD48" s="6" t="s">
        <v>28</v>
      </c>
      <c r="AE48" s="6" t="s">
        <v>26</v>
      </c>
      <c r="AF48" s="26" t="s">
        <v>27</v>
      </c>
      <c r="AG48" s="18" t="s">
        <v>38</v>
      </c>
    </row>
    <row r="49" spans="2:33" ht="15.75" thickBot="1" x14ac:dyDescent="0.3">
      <c r="B49" s="45">
        <f>SUMIF('BANKNIFTY Monthly Expiry'!$C$2:$C$85,Analysis!I49,'BANKNIFTY Monthly Expiry'!$H$2:$H$85)</f>
        <v>54.370370370370374</v>
      </c>
      <c r="C49" s="24">
        <f>SUMIF('BANKNIFTY Monthly Expiry'!$C$2:$C$85,Analysis!I49,'BANKNIFTY Monthly Expiry'!$G$2:$G$85)</f>
        <v>367</v>
      </c>
      <c r="D49" s="9">
        <f>SUMIF('BANKNIFTY Monthly Expiry'!$C$2:$C$85,Analysis!I49,'BANKNIFTY Monthly Expiry'!$I$2:$I$85)</f>
        <v>1975</v>
      </c>
      <c r="E49" s="9">
        <f>SUMIF('BANKNIFTY Monthly Expiry'!$C$2:$C$85,Analysis!I49,'BANKNIFTY Monthly Expiry'!$F$2:$F$85)</f>
        <v>1042</v>
      </c>
      <c r="F49" s="46">
        <f>SUMIF('BANKNIFTY Monthly Expiry'!$C$2:$C$85,Analysis!I49,'BANKNIFTY Monthly Expiry'!$M$2:$M$85)</f>
        <v>-15.288851587634628</v>
      </c>
      <c r="G49" s="9">
        <f>SUMIF('BANKNIFTY Monthly Expiry'!$C$2:$C$85,Analysis!I49,'BANKNIFTY Monthly Expiry'!$L$2:$L$85)</f>
        <v>-109.29999999999995</v>
      </c>
      <c r="H49" s="9">
        <f>SUMIF('BANKNIFTY Monthly Expiry'!$C$2:$C$85,Analysis!I49,'BANKNIFTY Monthly Expiry'!$K$2:$K$85)</f>
        <v>605.6</v>
      </c>
      <c r="I49" s="34">
        <f>I48+100</f>
        <v>43900</v>
      </c>
      <c r="J49" s="9">
        <f>SUMIF('BANKNIFTY Monthly Expiry'!$O$2:$O$85,Analysis!I49,'BANKNIFTY Monthly Expiry'!$W$2:$W$85)</f>
        <v>675.95</v>
      </c>
      <c r="K49" s="9">
        <f>SUMIF('BANKNIFTY Monthly Expiry'!$O$2:$O$85,Analysis!I49,'BANKNIFTY Monthly Expiry'!$X$2:$X$85)</f>
        <v>26.300000000000068</v>
      </c>
      <c r="L49" s="46">
        <f>SUMIF('BANKNIFTY Monthly Expiry'!$O$2:$O$85,Analysis!I49,'BANKNIFTY Monthly Expiry'!$Y$2:$Y$85)</f>
        <v>4.0483337181559405</v>
      </c>
      <c r="M49" s="9">
        <f>SUMIF('BANKNIFTY Monthly Expiry'!$O$2:$O$85,Analysis!I49,'BANKNIFTY Monthly Expiry'!$R$2:$R$85)</f>
        <v>941</v>
      </c>
      <c r="N49" s="9">
        <f>SUMIF('BANKNIFTY Monthly Expiry'!$O$2:$O$85,Analysis!I49,'BANKNIFTY Monthly Expiry'!$U$2:$U$85)</f>
        <v>2917</v>
      </c>
      <c r="O49" s="21">
        <f>SUMIF('BANKNIFTY Monthly Expiry'!$O$2:$O$85,Analysis!I49,'BANKNIFTY Monthly Expiry'!$S$2:$S$85)</f>
        <v>238</v>
      </c>
      <c r="P49" s="47">
        <f>SUMIF('BANKNIFTY Monthly Expiry'!$O$2:$O$85,Analysis!I49,'BANKNIFTY Monthly Expiry'!$T$2:$T$85)</f>
        <v>33.854907539118066</v>
      </c>
      <c r="S49" s="30">
        <f>SUMIF('NIFTY Monthly Expiry'!$O$2:$O$81,Analysis!Z49,'NIFTY Monthly Expiry'!$T$2:$T$81)</f>
        <v>2.8653295128939829</v>
      </c>
      <c r="T49" s="23">
        <f>SUMIF('NIFTY Monthly Expiry'!$O$2:$O$81,Analysis!Z49,'NIFTY Monthly Expiry'!$S$2:$S$81)</f>
        <v>80</v>
      </c>
      <c r="U49" s="5">
        <f>SUMIF('NIFTY Monthly Expiry'!$O$2:$O$81,Analysis!Z49,'NIFTY Monthly Expiry'!$U$2:$U$81)</f>
        <v>1422</v>
      </c>
      <c r="V49" s="5">
        <f>SUMIF('NIFTY Monthly Expiry'!$O$2:$O$81,Analysis!Z49,'NIFTY Monthly Expiry'!$R$2:$R$81)</f>
        <v>2872</v>
      </c>
      <c r="W49" s="38">
        <f>SUMIF('NIFTY Monthly Expiry'!$O$2:$O$81,Analysis!Z49,'NIFTY Monthly Expiry'!$Y$2:$Y$81)</f>
        <v>-18.034125234713045</v>
      </c>
      <c r="X49" s="5">
        <f>SUMIF('NIFTY Monthly Expiry'!$O$2:$O$81,Analysis!Z49,'NIFTY Monthly Expiry'!$X$2:$X$81)</f>
        <v>-110.45000000000005</v>
      </c>
      <c r="Y49" s="5">
        <f>SUMIF('NIFTY Monthly Expiry'!$O$2:$O$81,Analysis!Z49,'NIFTY Monthly Expiry'!$W$2:$W$81)</f>
        <v>502</v>
      </c>
      <c r="Z49" s="15">
        <f t="shared" ref="Z49:Z52" si="4">Z50-50</f>
        <v>18400</v>
      </c>
      <c r="AA49" s="5">
        <f>SUMIF('NIFTY Monthly Expiry'!$C$2:$C$81,Analysis!Z49,'NIFTY Monthly Expiry'!$K$2:$K$81)</f>
        <v>108.5</v>
      </c>
      <c r="AB49" s="5">
        <f>SUMIF('NIFTY Monthly Expiry'!$C$2:$C$81,Analysis!Z49,'NIFTY Monthly Expiry'!$L$2:$L$81)</f>
        <v>15</v>
      </c>
      <c r="AC49" s="38">
        <f>SUMIF('NIFTY Monthly Expiry'!$C$2:$C$81,Analysis!Z49,'NIFTY Monthly Expiry'!$M$2:$M$81)</f>
        <v>16.042780748663102</v>
      </c>
      <c r="AD49" s="5">
        <f>SUMIF('NIFTY Monthly Expiry'!$C$2:$C$81,Analysis!Z49,'NIFTY Monthly Expiry'!$F$2:$F$81)</f>
        <v>17850</v>
      </c>
      <c r="AE49" s="5">
        <f>SUMIF('NIFTY Monthly Expiry'!$C$2:$C$81,Analysis!Z49,'NIFTY Monthly Expiry'!$I$2:$I$81)</f>
        <v>17994</v>
      </c>
      <c r="AF49" s="20">
        <f>SUMIF('NIFTY Monthly Expiry'!$C$2:$C$81,Analysis!Z49,'NIFTY Monthly Expiry'!$G$2:$G$81)</f>
        <v>3767</v>
      </c>
      <c r="AG49" s="29">
        <f>SUMIF('NIFTY Monthly Expiry'!$C$2:$C$81,Analysis!Z49,'NIFTY Monthly Expiry'!$H$2:$H$81)</f>
        <v>26.748562096144287</v>
      </c>
    </row>
    <row r="50" spans="2:33" ht="15.75" thickBot="1" x14ac:dyDescent="0.3">
      <c r="S50" s="30">
        <f>SUMIF('NIFTY Monthly Expiry'!$O$2:$O$81,Analysis!Z50,'NIFTY Monthly Expiry'!$T$2:$T$81)</f>
        <v>-2.8571428571428572</v>
      </c>
      <c r="T50" s="23">
        <f>SUMIF('NIFTY Monthly Expiry'!$O$2:$O$81,Analysis!Z50,'NIFTY Monthly Expiry'!$S$2:$S$81)</f>
        <v>-2</v>
      </c>
      <c r="U50" s="5">
        <f>SUMIF('NIFTY Monthly Expiry'!$O$2:$O$81,Analysis!Z50,'NIFTY Monthly Expiry'!$U$2:$U$81)</f>
        <v>69</v>
      </c>
      <c r="V50" s="5">
        <f>SUMIF('NIFTY Monthly Expiry'!$O$2:$O$81,Analysis!Z50,'NIFTY Monthly Expiry'!$R$2:$R$81)</f>
        <v>68</v>
      </c>
      <c r="W50" s="38">
        <f>SUMIF('NIFTY Monthly Expiry'!$O$2:$O$81,Analysis!Z50,'NIFTY Monthly Expiry'!$Y$2:$Y$81)</f>
        <v>-21.060670343657193</v>
      </c>
      <c r="X50" s="5">
        <f>SUMIF('NIFTY Monthly Expiry'!$O$2:$O$81,Analysis!Z50,'NIFTY Monthly Expiry'!$X$2:$X$81)</f>
        <v>-124.10000000000002</v>
      </c>
      <c r="Y50" s="5">
        <f>SUMIF('NIFTY Monthly Expiry'!$O$2:$O$81,Analysis!Z50,'NIFTY Monthly Expiry'!$W$2:$W$81)</f>
        <v>465.15</v>
      </c>
      <c r="Z50" s="15">
        <f t="shared" si="4"/>
        <v>18450</v>
      </c>
      <c r="AA50" s="5">
        <f>SUMIF('NIFTY Monthly Expiry'!$C$2:$C$81,Analysis!Z50,'NIFTY Monthly Expiry'!$K$2:$K$81)</f>
        <v>120.5</v>
      </c>
      <c r="AB50" s="5">
        <f>SUMIF('NIFTY Monthly Expiry'!$C$2:$C$81,Analysis!Z50,'NIFTY Monthly Expiry'!$L$2:$L$81)</f>
        <v>16.650000000000006</v>
      </c>
      <c r="AC50" s="38">
        <f>SUMIF('NIFTY Monthly Expiry'!$C$2:$C$81,Analysis!Z50,'NIFTY Monthly Expiry'!$M$2:$M$81)</f>
        <v>16.032739528165628</v>
      </c>
      <c r="AD50" s="5">
        <f>SUMIF('NIFTY Monthly Expiry'!$C$2:$C$81,Analysis!Z50,'NIFTY Monthly Expiry'!$F$2:$F$81)</f>
        <v>739</v>
      </c>
      <c r="AE50" s="5">
        <f>SUMIF('NIFTY Monthly Expiry'!$C$2:$C$81,Analysis!Z50,'NIFTY Monthly Expiry'!$I$2:$I$81)</f>
        <v>1078</v>
      </c>
      <c r="AF50" s="20">
        <f>SUMIF('NIFTY Monthly Expiry'!$C$2:$C$81,Analysis!Z50,'NIFTY Monthly Expiry'!$G$2:$G$81)</f>
        <v>231</v>
      </c>
      <c r="AG50" s="29">
        <f>SUMIF('NIFTY Monthly Expiry'!$C$2:$C$81,Analysis!Z50,'NIFTY Monthly Expiry'!$H$2:$H$81)</f>
        <v>45.472440944881889</v>
      </c>
    </row>
    <row r="51" spans="2:33" ht="15.75" thickBot="1" x14ac:dyDescent="0.3">
      <c r="C51" s="66" t="s">
        <v>34</v>
      </c>
      <c r="D51" s="67"/>
      <c r="E51" s="68"/>
      <c r="F51" s="10" t="s">
        <v>30</v>
      </c>
      <c r="J51" s="66" t="s">
        <v>35</v>
      </c>
      <c r="K51" s="67"/>
      <c r="L51" s="67"/>
      <c r="M51" s="67"/>
      <c r="N51" s="68"/>
      <c r="O51" s="10" t="s">
        <v>30</v>
      </c>
      <c r="S51" s="30">
        <f>SUMIF('NIFTY Monthly Expiry'!$O$2:$O$81,Analysis!Z51,'NIFTY Monthly Expiry'!$T$2:$T$81)</f>
        <v>24.136045494313212</v>
      </c>
      <c r="T51" s="23">
        <f>SUMIF('NIFTY Monthly Expiry'!$O$2:$O$81,Analysis!Z51,'NIFTY Monthly Expiry'!$S$2:$S$81)</f>
        <v>2207</v>
      </c>
      <c r="U51" s="5">
        <f>SUMIF('NIFTY Monthly Expiry'!$O$2:$O$81,Analysis!Z51,'NIFTY Monthly Expiry'!$U$2:$U$81)</f>
        <v>14321</v>
      </c>
      <c r="V51" s="5">
        <f>SUMIF('NIFTY Monthly Expiry'!$O$2:$O$81,Analysis!Z51,'NIFTY Monthly Expiry'!$R$2:$R$81)</f>
        <v>11351</v>
      </c>
      <c r="W51" s="38">
        <f>SUMIF('NIFTY Monthly Expiry'!$O$2:$O$81,Analysis!Z51,'NIFTY Monthly Expiry'!$Y$2:$Y$81)</f>
        <v>-19.324577861163228</v>
      </c>
      <c r="X51" s="5">
        <f>SUMIF('NIFTY Monthly Expiry'!$O$2:$O$81,Analysis!Z51,'NIFTY Monthly Expiry'!$X$2:$X$81)</f>
        <v>-103</v>
      </c>
      <c r="Y51" s="5">
        <f>SUMIF('NIFTY Monthly Expiry'!$O$2:$O$81,Analysis!Z51,'NIFTY Monthly Expiry'!$W$2:$W$81)</f>
        <v>430</v>
      </c>
      <c r="Z51" s="15">
        <f t="shared" si="4"/>
        <v>18500</v>
      </c>
      <c r="AA51" s="5">
        <f>SUMIF('NIFTY Monthly Expiry'!$C$2:$C$81,Analysis!Z51,'NIFTY Monthly Expiry'!$K$2:$K$81)</f>
        <v>135.80000000000001</v>
      </c>
      <c r="AB51" s="5">
        <f>SUMIF('NIFTY Monthly Expiry'!$C$2:$C$81,Analysis!Z51,'NIFTY Monthly Expiry'!$L$2:$L$81)</f>
        <v>19.900000000000009</v>
      </c>
      <c r="AC51" s="38">
        <f>SUMIF('NIFTY Monthly Expiry'!$C$2:$C$81,Analysis!Z51,'NIFTY Monthly Expiry'!$M$2:$M$81)</f>
        <v>17.169974115616917</v>
      </c>
      <c r="AD51" s="5">
        <f>SUMIF('NIFTY Monthly Expiry'!$C$2:$C$81,Analysis!Z51,'NIFTY Monthly Expiry'!$F$2:$F$81)</f>
        <v>46691</v>
      </c>
      <c r="AE51" s="5">
        <f>SUMIF('NIFTY Monthly Expiry'!$C$2:$C$81,Analysis!Z51,'NIFTY Monthly Expiry'!$I$2:$I$81)</f>
        <v>58826</v>
      </c>
      <c r="AF51" s="20">
        <f>SUMIF('NIFTY Monthly Expiry'!$C$2:$C$81,Analysis!Z51,'NIFTY Monthly Expiry'!$G$2:$G$81)</f>
        <v>9231</v>
      </c>
      <c r="AG51" s="29">
        <f>SUMIF('NIFTY Monthly Expiry'!$C$2:$C$81,Analysis!Z51,'NIFTY Monthly Expiry'!$H$2:$H$81)</f>
        <v>24.642285104111053</v>
      </c>
    </row>
    <row r="52" spans="2:33" x14ac:dyDescent="0.25">
      <c r="C52" s="64" t="s">
        <v>36</v>
      </c>
      <c r="D52" s="65"/>
      <c r="E52" s="13">
        <f>MAX(E43:E49)</f>
        <v>8477</v>
      </c>
      <c r="F52" s="11">
        <f>VLOOKUP(E52,$E$43:$I$49,5,FALSE)</f>
        <v>43500</v>
      </c>
      <c r="J52" s="64" t="s">
        <v>36</v>
      </c>
      <c r="K52" s="73"/>
      <c r="L52" s="73"/>
      <c r="M52" s="65"/>
      <c r="N52" s="11">
        <f>MAX(M43:M49)</f>
        <v>26494</v>
      </c>
      <c r="O52" s="1">
        <f>SUMIF($M$43:$M$49,N52,$I$43:$I$49)</f>
        <v>43500</v>
      </c>
      <c r="S52" s="30">
        <f>SUMIF('NIFTY Monthly Expiry'!$O$2:$O$81,Analysis!Z52,'NIFTY Monthly Expiry'!$T$2:$T$81)</f>
        <v>38.383838383838381</v>
      </c>
      <c r="T52" s="23">
        <f>SUMIF('NIFTY Monthly Expiry'!$O$2:$O$81,Analysis!Z52,'NIFTY Monthly Expiry'!$S$2:$S$81)</f>
        <v>38</v>
      </c>
      <c r="U52" s="5">
        <f>SUMIF('NIFTY Monthly Expiry'!$O$2:$O$81,Analysis!Z52,'NIFTY Monthly Expiry'!$U$2:$U$81)</f>
        <v>107</v>
      </c>
      <c r="V52" s="5">
        <f>SUMIF('NIFTY Monthly Expiry'!$O$2:$O$81,Analysis!Z52,'NIFTY Monthly Expiry'!$R$2:$R$81)</f>
        <v>137</v>
      </c>
      <c r="W52" s="38">
        <f>SUMIF('NIFTY Monthly Expiry'!$O$2:$O$81,Analysis!Z52,'NIFTY Monthly Expiry'!$Y$2:$Y$81)</f>
        <v>-19.872572815533982</v>
      </c>
      <c r="X52" s="5">
        <f>SUMIF('NIFTY Monthly Expiry'!$O$2:$O$81,Analysis!Z52,'NIFTY Monthly Expiry'!$X$2:$X$81)</f>
        <v>-98.25</v>
      </c>
      <c r="Y52" s="5">
        <f>SUMIF('NIFTY Monthly Expiry'!$O$2:$O$81,Analysis!Z52,'NIFTY Monthly Expiry'!$W$2:$W$81)</f>
        <v>396.15</v>
      </c>
      <c r="Z52" s="15">
        <f t="shared" si="4"/>
        <v>18550</v>
      </c>
      <c r="AA52" s="5">
        <f>SUMIF('NIFTY Monthly Expiry'!$C$2:$C$81,Analysis!Z52,'NIFTY Monthly Expiry'!$K$2:$K$81)</f>
        <v>148.94999999999999</v>
      </c>
      <c r="AB52" s="5">
        <f>SUMIF('NIFTY Monthly Expiry'!$C$2:$C$81,Analysis!Z52,'NIFTY Monthly Expiry'!$L$2:$L$81)</f>
        <v>21.999999999999982</v>
      </c>
      <c r="AC52" s="38">
        <f>SUMIF('NIFTY Monthly Expiry'!$C$2:$C$81,Analysis!Z52,'NIFTY Monthly Expiry'!$M$2:$M$81)</f>
        <v>17.329657345411569</v>
      </c>
      <c r="AD52" s="5">
        <f>SUMIF('NIFTY Monthly Expiry'!$C$2:$C$81,Analysis!Z52,'NIFTY Monthly Expiry'!$F$2:$F$81)</f>
        <v>1022</v>
      </c>
      <c r="AE52" s="5">
        <f>SUMIF('NIFTY Monthly Expiry'!$C$2:$C$81,Analysis!Z52,'NIFTY Monthly Expiry'!$I$2:$I$81)</f>
        <v>1622</v>
      </c>
      <c r="AF52" s="20">
        <f>SUMIF('NIFTY Monthly Expiry'!$C$2:$C$81,Analysis!Z52,'NIFTY Monthly Expiry'!$G$2:$G$81)</f>
        <v>105</v>
      </c>
      <c r="AG52" s="29">
        <f>SUMIF('NIFTY Monthly Expiry'!$C$2:$C$81,Analysis!Z52,'NIFTY Monthly Expiry'!$H$2:$H$81)</f>
        <v>11.450381679389311</v>
      </c>
    </row>
    <row r="53" spans="2:33" ht="15.75" thickBot="1" x14ac:dyDescent="0.3">
      <c r="C53" s="71" t="s">
        <v>37</v>
      </c>
      <c r="D53" s="72"/>
      <c r="E53" s="27">
        <f>MAX(C43:C49)</f>
        <v>2317</v>
      </c>
      <c r="F53" s="28">
        <f>VLOOKUP(E53,$C$43:$I$49,7,FALSE)</f>
        <v>43500</v>
      </c>
      <c r="J53" s="69" t="s">
        <v>37</v>
      </c>
      <c r="K53" s="62"/>
      <c r="L53" s="62"/>
      <c r="M53" s="70"/>
      <c r="N53" s="12">
        <f>MAX(O43:O49)</f>
        <v>13023</v>
      </c>
      <c r="O53" s="14">
        <f>SUMIF($O$43:$O$49,N53,$I$43:$I$49)</f>
        <v>43500</v>
      </c>
      <c r="S53" s="30">
        <f>SUMIF('NIFTY Monthly Expiry'!$O$2:$O$81,Analysis!Z53,'NIFTY Monthly Expiry'!$T$2:$T$81)</f>
        <v>66.027397260273972</v>
      </c>
      <c r="T53" s="23">
        <f>SUMIF('NIFTY Monthly Expiry'!$O$2:$O$81,Analysis!Z53,'NIFTY Monthly Expiry'!$S$2:$S$81)</f>
        <v>2410</v>
      </c>
      <c r="U53" s="5">
        <f>SUMIF('NIFTY Monthly Expiry'!$O$2:$O$81,Analysis!Z53,'NIFTY Monthly Expiry'!$U$2:$U$81)</f>
        <v>7560</v>
      </c>
      <c r="V53" s="5">
        <f>SUMIF('NIFTY Monthly Expiry'!$O$2:$O$81,Analysis!Z53,'NIFTY Monthly Expiry'!$R$2:$R$81)</f>
        <v>6060</v>
      </c>
      <c r="W53" s="38">
        <f>SUMIF('NIFTY Monthly Expiry'!$O$2:$O$81,Analysis!Z53,'NIFTY Monthly Expiry'!$Y$2:$Y$81)</f>
        <v>-20.965112487773062</v>
      </c>
      <c r="X53" s="5">
        <f>SUMIF('NIFTY Monthly Expiry'!$O$2:$O$81,Analysis!Z53,'NIFTY Monthly Expiry'!$X$2:$X$81)</f>
        <v>-96.45</v>
      </c>
      <c r="Y53" s="5">
        <f>SUMIF('NIFTY Monthly Expiry'!$O$2:$O$81,Analysis!Z53,'NIFTY Monthly Expiry'!$W$2:$W$81)</f>
        <v>363.6</v>
      </c>
      <c r="Z53" s="32">
        <f>Z54-50</f>
        <v>18600</v>
      </c>
      <c r="AA53" s="5">
        <f>SUMIF('NIFTY Monthly Expiry'!$C$2:$C$81,Analysis!Z53,'NIFTY Monthly Expiry'!$K$2:$K$81)</f>
        <v>169</v>
      </c>
      <c r="AB53" s="5">
        <f>SUMIF('NIFTY Monthly Expiry'!$C$2:$C$81,Analysis!Z53,'NIFTY Monthly Expiry'!$L$2:$L$81)</f>
        <v>28.150000000000009</v>
      </c>
      <c r="AC53" s="38">
        <f>SUMIF('NIFTY Monthly Expiry'!$C$2:$C$81,Analysis!Z53,'NIFTY Monthly Expiry'!$M$2:$M$81)</f>
        <v>19.985800496982613</v>
      </c>
      <c r="AD53" s="5">
        <f>SUMIF('NIFTY Monthly Expiry'!$C$2:$C$81,Analysis!Z53,'NIFTY Monthly Expiry'!$F$2:$F$81)</f>
        <v>21306</v>
      </c>
      <c r="AE53" s="5">
        <f>SUMIF('NIFTY Monthly Expiry'!$C$2:$C$81,Analysis!Z53,'NIFTY Monthly Expiry'!$I$2:$I$81)</f>
        <v>25305</v>
      </c>
      <c r="AF53" s="20">
        <f>SUMIF('NIFTY Monthly Expiry'!$C$2:$C$81,Analysis!Z53,'NIFTY Monthly Expiry'!$G$2:$G$81)</f>
        <v>6486</v>
      </c>
      <c r="AG53" s="29">
        <f>SUMIF('NIFTY Monthly Expiry'!$C$2:$C$81,Analysis!Z53,'NIFTY Monthly Expiry'!$H$2:$H$81)</f>
        <v>43.765182186234817</v>
      </c>
    </row>
    <row r="54" spans="2:33" ht="15.75" thickBot="1" x14ac:dyDescent="0.3">
      <c r="C54" s="61" t="s">
        <v>41</v>
      </c>
      <c r="D54" s="62"/>
      <c r="E54" s="35">
        <f>MAX(B43:B49)</f>
        <v>175.95818815331012</v>
      </c>
      <c r="F54" s="12">
        <f>VLOOKUP(E54,$B$43:$I$49,8,FALSE)</f>
        <v>43600</v>
      </c>
      <c r="J54" s="61" t="s">
        <v>41</v>
      </c>
      <c r="K54" s="62"/>
      <c r="L54" s="62"/>
      <c r="M54" s="62"/>
      <c r="N54" s="35">
        <f>MAX(P43:P49)</f>
        <v>125.68627450980392</v>
      </c>
      <c r="O54" s="12">
        <f>SUMIF($P$43:$P$49,N54,$I$43:$I$49)</f>
        <v>43600</v>
      </c>
      <c r="S54" s="30">
        <f>SUMIF('NIFTY Monthly Expiry'!$O$2:$O$81,Analysis!Z54,'NIFTY Monthly Expiry'!$T$2:$T$81)</f>
        <v>113.03030303030305</v>
      </c>
      <c r="T54" s="23">
        <f>SUMIF('NIFTY Monthly Expiry'!$O$2:$O$81,Analysis!Z54,'NIFTY Monthly Expiry'!$S$2:$S$81)</f>
        <v>373</v>
      </c>
      <c r="U54" s="5">
        <f>SUMIF('NIFTY Monthly Expiry'!$O$2:$O$81,Analysis!Z54,'NIFTY Monthly Expiry'!$U$2:$U$81)</f>
        <v>1578</v>
      </c>
      <c r="V54" s="5">
        <f>SUMIF('NIFTY Monthly Expiry'!$O$2:$O$81,Analysis!Z54,'NIFTY Monthly Expiry'!$R$2:$R$81)</f>
        <v>703</v>
      </c>
      <c r="W54" s="38">
        <f>SUMIF('NIFTY Monthly Expiry'!$O$2:$O$81,Analysis!Z54,'NIFTY Monthly Expiry'!$Y$2:$Y$81)</f>
        <v>-22.784958871915393</v>
      </c>
      <c r="X54" s="5">
        <f>SUMIF('NIFTY Monthly Expiry'!$O$2:$O$81,Analysis!Z54,'NIFTY Monthly Expiry'!$X$2:$X$81)</f>
        <v>-96.95</v>
      </c>
      <c r="Y54" s="5">
        <f>SUMIF('NIFTY Monthly Expiry'!$O$2:$O$81,Analysis!Z54,'NIFTY Monthly Expiry'!$W$2:$W$81)</f>
        <v>328.55</v>
      </c>
      <c r="Z54" s="16">
        <f>ROUND('NIFTY Monthly Expiry'!N81/50,0)*50</f>
        <v>18650</v>
      </c>
      <c r="AA54" s="5">
        <f>SUMIF('NIFTY Monthly Expiry'!$C$2:$C$81,Analysis!Z54,'NIFTY Monthly Expiry'!$K$2:$K$81)</f>
        <v>184.05</v>
      </c>
      <c r="AB54" s="5">
        <f>SUMIF('NIFTY Monthly Expiry'!$C$2:$C$81,Analysis!Z54,'NIFTY Monthly Expiry'!$L$2:$L$81)</f>
        <v>29.950000000000017</v>
      </c>
      <c r="AC54" s="38">
        <f>SUMIF('NIFTY Monthly Expiry'!$C$2:$C$81,Analysis!Z54,'NIFTY Monthly Expiry'!$M$2:$M$81)</f>
        <v>19.435431537962376</v>
      </c>
      <c r="AD54" s="5">
        <f>SUMIF('NIFTY Monthly Expiry'!$C$2:$C$81,Analysis!Z54,'NIFTY Monthly Expiry'!$F$2:$F$81)</f>
        <v>1053</v>
      </c>
      <c r="AE54" s="5">
        <f>SUMIF('NIFTY Monthly Expiry'!$C$2:$C$81,Analysis!Z54,'NIFTY Monthly Expiry'!$I$2:$I$81)</f>
        <v>2861</v>
      </c>
      <c r="AF54" s="20">
        <f>SUMIF('NIFTY Monthly Expiry'!$C$2:$C$81,Analysis!Z54,'NIFTY Monthly Expiry'!$G$2:$G$81)</f>
        <v>454</v>
      </c>
      <c r="AG54" s="29">
        <f>SUMIF('NIFTY Monthly Expiry'!$C$2:$C$81,Analysis!Z54,'NIFTY Monthly Expiry'!$H$2:$H$81)</f>
        <v>75.792988313856426</v>
      </c>
    </row>
    <row r="55" spans="2:33" x14ac:dyDescent="0.25">
      <c r="S55" s="30">
        <f>SUMIF('NIFTY Monthly Expiry'!$O$2:$O$81,Analysis!Z55,'NIFTY Monthly Expiry'!$T$2:$T$81)</f>
        <v>45.24142757172848</v>
      </c>
      <c r="T55" s="23">
        <f>SUMIF('NIFTY Monthly Expiry'!$O$2:$O$81,Analysis!Z55,'NIFTY Monthly Expiry'!$S$2:$S$81)</f>
        <v>2586</v>
      </c>
      <c r="U55" s="5">
        <f>SUMIF('NIFTY Monthly Expiry'!$O$2:$O$81,Analysis!Z55,'NIFTY Monthly Expiry'!$U$2:$U$81)</f>
        <v>15718</v>
      </c>
      <c r="V55" s="5">
        <f>SUMIF('NIFTY Monthly Expiry'!$O$2:$O$81,Analysis!Z55,'NIFTY Monthly Expiry'!$R$2:$R$81)</f>
        <v>8302</v>
      </c>
      <c r="W55" s="38">
        <f>SUMIF('NIFTY Monthly Expiry'!$O$2:$O$81,Analysis!Z55,'NIFTY Monthly Expiry'!$Y$2:$Y$81)</f>
        <v>-23.573997944501546</v>
      </c>
      <c r="X55" s="5">
        <f>SUMIF('NIFTY Monthly Expiry'!$O$2:$O$81,Analysis!Z55,'NIFTY Monthly Expiry'!$X$2:$X$81)</f>
        <v>-91.75</v>
      </c>
      <c r="Y55" s="5">
        <f>SUMIF('NIFTY Monthly Expiry'!$O$2:$O$81,Analysis!Z55,'NIFTY Monthly Expiry'!$W$2:$W$81)</f>
        <v>297.45</v>
      </c>
      <c r="Z55" s="33">
        <f>Z54+50</f>
        <v>18700</v>
      </c>
      <c r="AA55" s="5">
        <f>SUMIF('NIFTY Monthly Expiry'!$C$2:$C$81,Analysis!Z55,'NIFTY Monthly Expiry'!$K$2:$K$81)</f>
        <v>201.6</v>
      </c>
      <c r="AB55" s="5">
        <f>SUMIF('NIFTY Monthly Expiry'!$C$2:$C$81,Analysis!Z55,'NIFTY Monthly Expiry'!$L$2:$L$81)</f>
        <v>31.25</v>
      </c>
      <c r="AC55" s="38">
        <f>SUMIF('NIFTY Monthly Expiry'!$C$2:$C$81,Analysis!Z55,'NIFTY Monthly Expiry'!$M$2:$M$81)</f>
        <v>18.344584678602882</v>
      </c>
      <c r="AD55" s="5">
        <f>SUMIF('NIFTY Monthly Expiry'!$C$2:$C$81,Analysis!Z55,'NIFTY Monthly Expiry'!$F$2:$F$81)</f>
        <v>17546</v>
      </c>
      <c r="AE55" s="5">
        <f>SUMIF('NIFTY Monthly Expiry'!$C$2:$C$81,Analysis!Z55,'NIFTY Monthly Expiry'!$I$2:$I$81)</f>
        <v>33473</v>
      </c>
      <c r="AF55" s="20">
        <f>SUMIF('NIFTY Monthly Expiry'!$C$2:$C$81,Analysis!Z55,'NIFTY Monthly Expiry'!$G$2:$G$81)</f>
        <v>2365</v>
      </c>
      <c r="AG55" s="29">
        <f>SUMIF('NIFTY Monthly Expiry'!$C$2:$C$81,Analysis!Z55,'NIFTY Monthly Expiry'!$H$2:$H$81)</f>
        <v>15.578683881167249</v>
      </c>
    </row>
    <row r="56" spans="2:33" x14ac:dyDescent="0.25">
      <c r="S56" s="30">
        <f>SUMIF('NIFTY Monthly Expiry'!$O$2:$O$81,Analysis!Z56,'NIFTY Monthly Expiry'!$T$2:$T$81)</f>
        <v>20.4644412191582</v>
      </c>
      <c r="T56" s="23">
        <f>SUMIF('NIFTY Monthly Expiry'!$O$2:$O$81,Analysis!Z56,'NIFTY Monthly Expiry'!$S$2:$S$81)</f>
        <v>141</v>
      </c>
      <c r="U56" s="5">
        <f>SUMIF('NIFTY Monthly Expiry'!$O$2:$O$81,Analysis!Z56,'NIFTY Monthly Expiry'!$U$2:$U$81)</f>
        <v>2055</v>
      </c>
      <c r="V56" s="5">
        <f>SUMIF('NIFTY Monthly Expiry'!$O$2:$O$81,Analysis!Z56,'NIFTY Monthly Expiry'!$R$2:$R$81)</f>
        <v>830</v>
      </c>
      <c r="W56" s="38">
        <f>SUMIF('NIFTY Monthly Expiry'!$O$2:$O$81,Analysis!Z56,'NIFTY Monthly Expiry'!$Y$2:$Y$81)</f>
        <v>-25.031587814123256</v>
      </c>
      <c r="X56" s="5">
        <f>SUMIF('NIFTY Monthly Expiry'!$O$2:$O$81,Analysis!Z56,'NIFTY Monthly Expiry'!$X$2:$X$81)</f>
        <v>-89.149999999999977</v>
      </c>
      <c r="Y56" s="5">
        <f>SUMIF('NIFTY Monthly Expiry'!$O$2:$O$81,Analysis!Z56,'NIFTY Monthly Expiry'!$W$2:$W$81)</f>
        <v>267</v>
      </c>
      <c r="Z56" s="15">
        <f t="shared" ref="Z56:Z59" si="5">Z55+50</f>
        <v>18750</v>
      </c>
      <c r="AA56" s="5">
        <f>SUMIF('NIFTY Monthly Expiry'!$C$2:$C$81,Analysis!Z56,'NIFTY Monthly Expiry'!$K$2:$K$81)</f>
        <v>220.5</v>
      </c>
      <c r="AB56" s="5">
        <f>SUMIF('NIFTY Monthly Expiry'!$C$2:$C$81,Analysis!Z56,'NIFTY Monthly Expiry'!$L$2:$L$81)</f>
        <v>33.650000000000006</v>
      </c>
      <c r="AC56" s="38">
        <f>SUMIF('NIFTY Monthly Expiry'!$C$2:$C$81,Analysis!Z56,'NIFTY Monthly Expiry'!$M$2:$M$81)</f>
        <v>18.009098207118011</v>
      </c>
      <c r="AD56" s="5">
        <f>SUMIF('NIFTY Monthly Expiry'!$C$2:$C$81,Analysis!Z56,'NIFTY Monthly Expiry'!$F$2:$F$81)</f>
        <v>1141</v>
      </c>
      <c r="AE56" s="5">
        <f>SUMIF('NIFTY Monthly Expiry'!$C$2:$C$81,Analysis!Z56,'NIFTY Monthly Expiry'!$I$2:$I$81)</f>
        <v>5025</v>
      </c>
      <c r="AF56" s="20">
        <f>SUMIF('NIFTY Monthly Expiry'!$C$2:$C$81,Analysis!Z56,'NIFTY Monthly Expiry'!$G$2:$G$81)</f>
        <v>118</v>
      </c>
      <c r="AG56" s="29">
        <f>SUMIF('NIFTY Monthly Expiry'!$C$2:$C$81,Analysis!Z56,'NIFTY Monthly Expiry'!$H$2:$H$81)</f>
        <v>11.534701857282505</v>
      </c>
    </row>
    <row r="57" spans="2:33" x14ac:dyDescent="0.25">
      <c r="S57" s="30">
        <f>SUMIF('NIFTY Monthly Expiry'!$O$2:$O$81,Analysis!Z57,'NIFTY Monthly Expiry'!$T$2:$T$81)</f>
        <v>76.600302419354833</v>
      </c>
      <c r="T57" s="23">
        <f>SUMIF('NIFTY Monthly Expiry'!$O$2:$O$81,Analysis!Z57,'NIFTY Monthly Expiry'!$S$2:$S$81)</f>
        <v>6079</v>
      </c>
      <c r="U57" s="5">
        <f>SUMIF('NIFTY Monthly Expiry'!$O$2:$O$81,Analysis!Z57,'NIFTY Monthly Expiry'!$U$2:$U$81)</f>
        <v>25429</v>
      </c>
      <c r="V57" s="5">
        <f>SUMIF('NIFTY Monthly Expiry'!$O$2:$O$81,Analysis!Z57,'NIFTY Monthly Expiry'!$R$2:$R$81)</f>
        <v>14015</v>
      </c>
      <c r="W57" s="38">
        <f>SUMIF('NIFTY Monthly Expiry'!$O$2:$O$81,Analysis!Z57,'NIFTY Monthly Expiry'!$Y$2:$Y$81)</f>
        <v>-26.569005397070161</v>
      </c>
      <c r="X57" s="5">
        <f>SUMIF('NIFTY Monthly Expiry'!$O$2:$O$81,Analysis!Z57,'NIFTY Monthly Expiry'!$X$2:$X$81)</f>
        <v>-86.15</v>
      </c>
      <c r="Y57" s="5">
        <f>SUMIF('NIFTY Monthly Expiry'!$O$2:$O$81,Analysis!Z57,'NIFTY Monthly Expiry'!$W$2:$W$81)</f>
        <v>238.1</v>
      </c>
      <c r="Z57" s="15">
        <f t="shared" si="5"/>
        <v>18800</v>
      </c>
      <c r="AA57" s="5">
        <f>SUMIF('NIFTY Monthly Expiry'!$C$2:$C$81,Analysis!Z57,'NIFTY Monthly Expiry'!$K$2:$K$81)</f>
        <v>240</v>
      </c>
      <c r="AB57" s="5">
        <f>SUMIF('NIFTY Monthly Expiry'!$C$2:$C$81,Analysis!Z57,'NIFTY Monthly Expiry'!$L$2:$L$81)</f>
        <v>34.800000000000011</v>
      </c>
      <c r="AC57" s="38">
        <f>SUMIF('NIFTY Monthly Expiry'!$C$2:$C$81,Analysis!Z57,'NIFTY Monthly Expiry'!$M$2:$M$81)</f>
        <v>16.959064327485386</v>
      </c>
      <c r="AD57" s="5">
        <f>SUMIF('NIFTY Monthly Expiry'!$C$2:$C$81,Analysis!Z57,'NIFTY Monthly Expiry'!$F$2:$F$81)</f>
        <v>14015</v>
      </c>
      <c r="AE57" s="5">
        <f>SUMIF('NIFTY Monthly Expiry'!$C$2:$C$81,Analysis!Z57,'NIFTY Monthly Expiry'!$I$2:$I$81)</f>
        <v>38176</v>
      </c>
      <c r="AF57" s="20">
        <f>SUMIF('NIFTY Monthly Expiry'!$C$2:$C$81,Analysis!Z57,'NIFTY Monthly Expiry'!$G$2:$G$81)</f>
        <v>1381</v>
      </c>
      <c r="AG57" s="29">
        <f>SUMIF('NIFTY Monthly Expiry'!$C$2:$C$81,Analysis!Z57,'NIFTY Monthly Expiry'!$H$2:$H$81)</f>
        <v>10.930821592528099</v>
      </c>
    </row>
    <row r="58" spans="2:33" x14ac:dyDescent="0.25">
      <c r="S58" s="30">
        <f>SUMIF('NIFTY Monthly Expiry'!$O$2:$O$81,Analysis!Z58,'NIFTY Monthly Expiry'!$T$2:$T$81)</f>
        <v>7.8811369509043931</v>
      </c>
      <c r="T58" s="23">
        <f>SUMIF('NIFTY Monthly Expiry'!$O$2:$O$81,Analysis!Z58,'NIFTY Monthly Expiry'!$S$2:$S$81)</f>
        <v>61</v>
      </c>
      <c r="U58" s="5">
        <f>SUMIF('NIFTY Monthly Expiry'!$O$2:$O$81,Analysis!Z58,'NIFTY Monthly Expiry'!$U$2:$U$81)</f>
        <v>1730</v>
      </c>
      <c r="V58" s="5">
        <f>SUMIF('NIFTY Monthly Expiry'!$O$2:$O$81,Analysis!Z58,'NIFTY Monthly Expiry'!$R$2:$R$81)</f>
        <v>835</v>
      </c>
      <c r="W58" s="38">
        <f>SUMIF('NIFTY Monthly Expiry'!$O$2:$O$81,Analysis!Z58,'NIFTY Monthly Expiry'!$Y$2:$Y$81)</f>
        <v>-28.403875573686893</v>
      </c>
      <c r="X58" s="5">
        <f>SUMIF('NIFTY Monthly Expiry'!$O$2:$O$81,Analysis!Z58,'NIFTY Monthly Expiry'!$X$2:$X$81)</f>
        <v>-83.549999999999983</v>
      </c>
      <c r="Y58" s="5">
        <f>SUMIF('NIFTY Monthly Expiry'!$O$2:$O$81,Analysis!Z58,'NIFTY Monthly Expiry'!$W$2:$W$81)</f>
        <v>210.6</v>
      </c>
      <c r="Z58" s="15">
        <f t="shared" si="5"/>
        <v>18850</v>
      </c>
      <c r="AA58" s="5">
        <f>SUMIF('NIFTY Monthly Expiry'!$C$2:$C$81,Analysis!Z58,'NIFTY Monthly Expiry'!$K$2:$K$81)</f>
        <v>265.55</v>
      </c>
      <c r="AB58" s="5">
        <f>SUMIF('NIFTY Monthly Expiry'!$C$2:$C$81,Analysis!Z58,'NIFTY Monthly Expiry'!$L$2:$L$81)</f>
        <v>42.75</v>
      </c>
      <c r="AC58" s="38">
        <f>SUMIF('NIFTY Monthly Expiry'!$C$2:$C$81,Analysis!Z58,'NIFTY Monthly Expiry'!$M$2:$M$81)</f>
        <v>19.187612208258528</v>
      </c>
      <c r="AD58" s="5">
        <f>SUMIF('NIFTY Monthly Expiry'!$C$2:$C$81,Analysis!Z58,'NIFTY Monthly Expiry'!$F$2:$F$81)</f>
        <v>1115</v>
      </c>
      <c r="AE58" s="5">
        <f>SUMIF('NIFTY Monthly Expiry'!$C$2:$C$81,Analysis!Z58,'NIFTY Monthly Expiry'!$I$2:$I$81)</f>
        <v>1349</v>
      </c>
      <c r="AF58" s="20">
        <f>SUMIF('NIFTY Monthly Expiry'!$C$2:$C$81,Analysis!Z58,'NIFTY Monthly Expiry'!$G$2:$G$81)</f>
        <v>-48</v>
      </c>
      <c r="AG58" s="29">
        <f>SUMIF('NIFTY Monthly Expiry'!$C$2:$C$81,Analysis!Z58,'NIFTY Monthly Expiry'!$H$2:$H$81)</f>
        <v>-4.1272570937231299</v>
      </c>
    </row>
    <row r="59" spans="2:33" ht="15.75" thickBot="1" x14ac:dyDescent="0.3">
      <c r="S59" s="57">
        <f>SUMIF('NIFTY Monthly Expiry'!$O$2:$O$81,Analysis!Z59,'NIFTY Monthly Expiry'!$T$2:$T$81)</f>
        <v>26.252019386106625</v>
      </c>
      <c r="T59" s="58">
        <f>SUMIF('NIFTY Monthly Expiry'!$O$2:$O$81,Analysis!Z59,'NIFTY Monthly Expiry'!$S$2:$S$81)</f>
        <v>1950</v>
      </c>
      <c r="U59" s="41">
        <f>SUMIF('NIFTY Monthly Expiry'!$O$2:$O$81,Analysis!Z59,'NIFTY Monthly Expiry'!$U$2:$U$81)</f>
        <v>13346</v>
      </c>
      <c r="V59" s="41">
        <f>SUMIF('NIFTY Monthly Expiry'!$O$2:$O$81,Analysis!Z59,'NIFTY Monthly Expiry'!$R$2:$R$81)</f>
        <v>9378</v>
      </c>
      <c r="W59" s="40">
        <f>SUMIF('NIFTY Monthly Expiry'!$O$2:$O$81,Analysis!Z59,'NIFTY Monthly Expiry'!$Y$2:$Y$81)</f>
        <v>-28.212396069538936</v>
      </c>
      <c r="X59" s="41">
        <f>SUMIF('NIFTY Monthly Expiry'!$O$2:$O$81,Analysis!Z59,'NIFTY Monthly Expiry'!$X$2:$X$81)</f>
        <v>-74.650000000000034</v>
      </c>
      <c r="Y59" s="41">
        <f>SUMIF('NIFTY Monthly Expiry'!$O$2:$O$81,Analysis!Z59,'NIFTY Monthly Expiry'!$W$2:$W$81)</f>
        <v>189.95</v>
      </c>
      <c r="Z59" s="34">
        <f t="shared" si="5"/>
        <v>18900</v>
      </c>
      <c r="AA59" s="41">
        <f>SUMIF('NIFTY Monthly Expiry'!$C$2:$C$81,Analysis!Z59,'NIFTY Monthly Expiry'!$K$2:$K$81)</f>
        <v>294.85000000000002</v>
      </c>
      <c r="AB59" s="41">
        <f>SUMIF('NIFTY Monthly Expiry'!$C$2:$C$81,Analysis!Z59,'NIFTY Monthly Expiry'!$L$2:$L$81)</f>
        <v>50.700000000000017</v>
      </c>
      <c r="AC59" s="40">
        <f>SUMIF('NIFTY Monthly Expiry'!$C$2:$C$81,Analysis!Z59,'NIFTY Monthly Expiry'!$M$2:$M$81)</f>
        <v>20.765922588572604</v>
      </c>
      <c r="AD59" s="41">
        <f>SUMIF('NIFTY Monthly Expiry'!$C$2:$C$81,Analysis!Z59,'NIFTY Monthly Expiry'!$F$2:$F$81)</f>
        <v>6141</v>
      </c>
      <c r="AE59" s="41">
        <f>SUMIF('NIFTY Monthly Expiry'!$C$2:$C$81,Analysis!Z59,'NIFTY Monthly Expiry'!$I$2:$I$81)</f>
        <v>8958</v>
      </c>
      <c r="AF59" s="59">
        <f>SUMIF('NIFTY Monthly Expiry'!$C$2:$C$81,Analysis!Z59,'NIFTY Monthly Expiry'!$G$2:$G$81)</f>
        <v>-413</v>
      </c>
      <c r="AG59" s="60">
        <f>SUMIF('NIFTY Monthly Expiry'!$C$2:$C$81,Analysis!Z59,'NIFTY Monthly Expiry'!$H$2:$H$81)</f>
        <v>-6.3014952700640832</v>
      </c>
    </row>
    <row r="60" spans="2:33" ht="15.75" thickBot="1" x14ac:dyDescent="0.3"/>
    <row r="61" spans="2:33" ht="15.75" thickBot="1" x14ac:dyDescent="0.3">
      <c r="T61" s="66" t="s">
        <v>34</v>
      </c>
      <c r="U61" s="67"/>
      <c r="V61" s="68"/>
      <c r="W61" s="10" t="s">
        <v>30</v>
      </c>
      <c r="AA61" s="66" t="s">
        <v>35</v>
      </c>
      <c r="AB61" s="67"/>
      <c r="AC61" s="67"/>
      <c r="AD61" s="67"/>
      <c r="AE61" s="68"/>
      <c r="AF61" s="10" t="s">
        <v>30</v>
      </c>
    </row>
    <row r="62" spans="2:33" x14ac:dyDescent="0.25">
      <c r="T62" s="64" t="s">
        <v>36</v>
      </c>
      <c r="U62" s="65"/>
      <c r="V62" s="13">
        <f>MAX(V49:V59)</f>
        <v>14015</v>
      </c>
      <c r="W62" s="11">
        <f>VLOOKUP(V62,$V$49:$Z$59,5,FALSE)</f>
        <v>18800</v>
      </c>
      <c r="AA62" s="64" t="s">
        <v>36</v>
      </c>
      <c r="AB62" s="73"/>
      <c r="AC62" s="73"/>
      <c r="AD62" s="65"/>
      <c r="AE62" s="11">
        <f>MAX(AD49:AD59)</f>
        <v>46691</v>
      </c>
      <c r="AF62" s="1">
        <f>SUMIF($AD$49:$AD$59,AE62,$Z$49:$Z$59)</f>
        <v>18500</v>
      </c>
    </row>
    <row r="63" spans="2:33" ht="15.75" thickBot="1" x14ac:dyDescent="0.3">
      <c r="T63" s="69" t="s">
        <v>37</v>
      </c>
      <c r="U63" s="70"/>
      <c r="V63" s="14">
        <f>MAX(T49:T59)</f>
        <v>6079</v>
      </c>
      <c r="W63" s="12">
        <f>VLOOKUP(V63,$T$49:$Z$59,7,FALSE)</f>
        <v>18800</v>
      </c>
      <c r="AA63" s="69" t="s">
        <v>37</v>
      </c>
      <c r="AB63" s="62"/>
      <c r="AC63" s="62"/>
      <c r="AD63" s="70"/>
      <c r="AE63" s="12">
        <f>MAX(AF49:AF59)</f>
        <v>9231</v>
      </c>
      <c r="AF63" s="14">
        <f>SUMIF($AF$49:$AF$59,AE63,$Z$49:$Z$59)</f>
        <v>18500</v>
      </c>
    </row>
    <row r="64" spans="2:33" ht="15.75" thickBot="1" x14ac:dyDescent="0.3">
      <c r="T64" s="61" t="s">
        <v>41</v>
      </c>
      <c r="U64" s="62"/>
      <c r="V64" s="35">
        <f>MAX(S49:S59)</f>
        <v>113.03030303030305</v>
      </c>
      <c r="W64" s="12">
        <f>VLOOKUP(V64,$S$49:$Z$59,8,FALSE)</f>
        <v>18650</v>
      </c>
      <c r="AA64" s="61" t="s">
        <v>41</v>
      </c>
      <c r="AB64" s="62"/>
      <c r="AC64" s="62"/>
      <c r="AD64" s="62"/>
      <c r="AE64" s="35">
        <f>MAX(AG49:AG59)</f>
        <v>75.792988313856426</v>
      </c>
      <c r="AF64" s="12">
        <f>SUMIF($AG$49:$AG$59,AE64,$Z$49:$Z$59)</f>
        <v>18650</v>
      </c>
    </row>
  </sheetData>
  <mergeCells count="66">
    <mergeCell ref="T62:U62"/>
    <mergeCell ref="AA62:AD62"/>
    <mergeCell ref="T63:U63"/>
    <mergeCell ref="AA63:AD63"/>
    <mergeCell ref="T64:U64"/>
    <mergeCell ref="AA64:AD64"/>
    <mergeCell ref="T46:U46"/>
    <mergeCell ref="T47:Y47"/>
    <mergeCell ref="AA47:AF47"/>
    <mergeCell ref="T61:V61"/>
    <mergeCell ref="AA61:AE61"/>
    <mergeCell ref="T40:U40"/>
    <mergeCell ref="AA40:AD40"/>
    <mergeCell ref="T41:U41"/>
    <mergeCell ref="AA41:AD41"/>
    <mergeCell ref="T42:U42"/>
    <mergeCell ref="AA42:AD42"/>
    <mergeCell ref="T24:U24"/>
    <mergeCell ref="T25:Y25"/>
    <mergeCell ref="AA25:AF25"/>
    <mergeCell ref="T39:V39"/>
    <mergeCell ref="AA39:AE39"/>
    <mergeCell ref="C52:D52"/>
    <mergeCell ref="J52:M52"/>
    <mergeCell ref="C53:D53"/>
    <mergeCell ref="J53:M53"/>
    <mergeCell ref="C54:D54"/>
    <mergeCell ref="J54:M54"/>
    <mergeCell ref="C40:D40"/>
    <mergeCell ref="C41:H41"/>
    <mergeCell ref="J41:O41"/>
    <mergeCell ref="C51:E51"/>
    <mergeCell ref="J51:N51"/>
    <mergeCell ref="C33:D33"/>
    <mergeCell ref="J33:M33"/>
    <mergeCell ref="C34:D34"/>
    <mergeCell ref="J34:M34"/>
    <mergeCell ref="C35:D35"/>
    <mergeCell ref="J35:M35"/>
    <mergeCell ref="J16:M16"/>
    <mergeCell ref="C21:D21"/>
    <mergeCell ref="C22:H22"/>
    <mergeCell ref="J22:O22"/>
    <mergeCell ref="C32:E32"/>
    <mergeCell ref="J32:N32"/>
    <mergeCell ref="T2:U2"/>
    <mergeCell ref="C2:D2"/>
    <mergeCell ref="J3:O3"/>
    <mergeCell ref="C3:H3"/>
    <mergeCell ref="T3:Y3"/>
    <mergeCell ref="T20:U20"/>
    <mergeCell ref="AA20:AD20"/>
    <mergeCell ref="AA3:AF3"/>
    <mergeCell ref="C14:D14"/>
    <mergeCell ref="C13:E13"/>
    <mergeCell ref="J13:N13"/>
    <mergeCell ref="T19:U19"/>
    <mergeCell ref="AA19:AD19"/>
    <mergeCell ref="C15:D15"/>
    <mergeCell ref="J14:M14"/>
    <mergeCell ref="J15:M15"/>
    <mergeCell ref="T17:V17"/>
    <mergeCell ref="AA17:AE17"/>
    <mergeCell ref="T18:U18"/>
    <mergeCell ref="AA18:AD18"/>
    <mergeCell ref="C16:D16"/>
  </mergeCells>
  <conditionalFormatting sqref="M5:M11">
    <cfRule type="top10" dxfId="59" priority="60" rank="1"/>
  </conditionalFormatting>
  <conditionalFormatting sqref="E5:G11">
    <cfRule type="top10" dxfId="58" priority="59" rank="1"/>
  </conditionalFormatting>
  <conditionalFormatting sqref="C5:C11">
    <cfRule type="top10" dxfId="57" priority="58" rank="1"/>
  </conditionalFormatting>
  <conditionalFormatting sqref="O5:O11">
    <cfRule type="top10" dxfId="56" priority="57" rank="1"/>
  </conditionalFormatting>
  <conditionalFormatting sqref="V5:X15">
    <cfRule type="top10" dxfId="55" priority="56" rank="1"/>
  </conditionalFormatting>
  <conditionalFormatting sqref="T5:T15">
    <cfRule type="top10" dxfId="54" priority="55" rank="1"/>
  </conditionalFormatting>
  <conditionalFormatting sqref="AD5:AD15">
    <cfRule type="top10" dxfId="53" priority="54" rank="1"/>
  </conditionalFormatting>
  <conditionalFormatting sqref="AF5:AF15">
    <cfRule type="top10" dxfId="52" priority="53" rank="1"/>
  </conditionalFormatting>
  <conditionalFormatting sqref="B5:B11">
    <cfRule type="top10" dxfId="51" priority="52" rank="1"/>
  </conditionalFormatting>
  <conditionalFormatting sqref="P5:P11">
    <cfRule type="top10" dxfId="50" priority="51" rank="1"/>
  </conditionalFormatting>
  <conditionalFormatting sqref="S5:S15">
    <cfRule type="top10" dxfId="49" priority="50" rank="1"/>
  </conditionalFormatting>
  <conditionalFormatting sqref="AG5:AG15">
    <cfRule type="top10" dxfId="48" priority="49" rank="1"/>
  </conditionalFormatting>
  <conditionalFormatting sqref="G5:G11">
    <cfRule type="top10" dxfId="47" priority="48" rank="1"/>
  </conditionalFormatting>
  <conditionalFormatting sqref="F5:F11">
    <cfRule type="top10" dxfId="46" priority="47" rank="1"/>
  </conditionalFormatting>
  <conditionalFormatting sqref="K5:K11">
    <cfRule type="top10" dxfId="45" priority="46" rank="1"/>
  </conditionalFormatting>
  <conditionalFormatting sqref="L5:L11">
    <cfRule type="top10" dxfId="44" priority="45" rank="1"/>
  </conditionalFormatting>
  <conditionalFormatting sqref="M24:M30">
    <cfRule type="top10" dxfId="43" priority="44" rank="1"/>
  </conditionalFormatting>
  <conditionalFormatting sqref="E24:G30">
    <cfRule type="top10" dxfId="42" priority="43" rank="1"/>
  </conditionalFormatting>
  <conditionalFormatting sqref="C24:C30">
    <cfRule type="top10" dxfId="41" priority="42" rank="1"/>
  </conditionalFormatting>
  <conditionalFormatting sqref="O24:O30">
    <cfRule type="top10" dxfId="40" priority="41" rank="1"/>
  </conditionalFormatting>
  <conditionalFormatting sqref="B24:B30">
    <cfRule type="top10" dxfId="39" priority="40" rank="1"/>
  </conditionalFormatting>
  <conditionalFormatting sqref="P24:P30">
    <cfRule type="top10" dxfId="38" priority="39" rank="1"/>
  </conditionalFormatting>
  <conditionalFormatting sqref="G24:G30">
    <cfRule type="top10" dxfId="37" priority="38" rank="1"/>
  </conditionalFormatting>
  <conditionalFormatting sqref="F24:F30">
    <cfRule type="top10" dxfId="36" priority="37" rank="1"/>
  </conditionalFormatting>
  <conditionalFormatting sqref="K24:K30">
    <cfRule type="top10" dxfId="35" priority="36" rank="1"/>
  </conditionalFormatting>
  <conditionalFormatting sqref="L24:L30">
    <cfRule type="top10" dxfId="34" priority="35" rank="1"/>
  </conditionalFormatting>
  <conditionalFormatting sqref="M43:M49">
    <cfRule type="top10" dxfId="33" priority="34" rank="1"/>
  </conditionalFormatting>
  <conditionalFormatting sqref="E43:G49">
    <cfRule type="top10" dxfId="32" priority="33" rank="1"/>
  </conditionalFormatting>
  <conditionalFormatting sqref="C43:C49">
    <cfRule type="top10" dxfId="31" priority="32" rank="1"/>
  </conditionalFormatting>
  <conditionalFormatting sqref="O43:O49">
    <cfRule type="top10" dxfId="30" priority="31" rank="1"/>
  </conditionalFormatting>
  <conditionalFormatting sqref="B43:B49">
    <cfRule type="top10" dxfId="29" priority="30" rank="1"/>
  </conditionalFormatting>
  <conditionalFormatting sqref="P43:P49">
    <cfRule type="top10" dxfId="28" priority="29" rank="1"/>
  </conditionalFormatting>
  <conditionalFormatting sqref="G43:G49">
    <cfRule type="top10" dxfId="27" priority="28" rank="1"/>
  </conditionalFormatting>
  <conditionalFormatting sqref="F43:F49">
    <cfRule type="top10" dxfId="26" priority="27" rank="1"/>
  </conditionalFormatting>
  <conditionalFormatting sqref="K43:K49">
    <cfRule type="top10" dxfId="25" priority="26" rank="1"/>
  </conditionalFormatting>
  <conditionalFormatting sqref="L43:L49">
    <cfRule type="top10" dxfId="24" priority="25" rank="1"/>
  </conditionalFormatting>
  <conditionalFormatting sqref="X5:X15">
    <cfRule type="top10" dxfId="23" priority="24" rank="1"/>
  </conditionalFormatting>
  <conditionalFormatting sqref="W5:W15">
    <cfRule type="top10" dxfId="22" priority="23" rank="1"/>
  </conditionalFormatting>
  <conditionalFormatting sqref="AC5:AC15">
    <cfRule type="top10" dxfId="21" priority="22" rank="1"/>
  </conditionalFormatting>
  <conditionalFormatting sqref="AB5:AB15">
    <cfRule type="top10" dxfId="20" priority="21" rank="1"/>
  </conditionalFormatting>
  <conditionalFormatting sqref="V27:X37">
    <cfRule type="top10" dxfId="19" priority="20" rank="1"/>
  </conditionalFormatting>
  <conditionalFormatting sqref="T27:T37">
    <cfRule type="top10" dxfId="18" priority="19" rank="1"/>
  </conditionalFormatting>
  <conditionalFormatting sqref="AD27:AD37">
    <cfRule type="top10" dxfId="17" priority="18" rank="1"/>
  </conditionalFormatting>
  <conditionalFormatting sqref="AF27:AF37">
    <cfRule type="top10" dxfId="16" priority="17" rank="1"/>
  </conditionalFormatting>
  <conditionalFormatting sqref="S27:S37">
    <cfRule type="top10" dxfId="15" priority="16" rank="1"/>
  </conditionalFormatting>
  <conditionalFormatting sqref="AG27:AG37">
    <cfRule type="top10" dxfId="14" priority="15" rank="1"/>
  </conditionalFormatting>
  <conditionalFormatting sqref="X27:X37">
    <cfRule type="top10" dxfId="13" priority="14" rank="1"/>
  </conditionalFormatting>
  <conditionalFormatting sqref="W27:W37">
    <cfRule type="top10" dxfId="12" priority="13" rank="1"/>
  </conditionalFormatting>
  <conditionalFormatting sqref="AC27:AC37">
    <cfRule type="top10" dxfId="11" priority="12" rank="1"/>
  </conditionalFormatting>
  <conditionalFormatting sqref="AB27:AB37">
    <cfRule type="top10" dxfId="10" priority="11" rank="1"/>
  </conditionalFormatting>
  <conditionalFormatting sqref="V49:X59">
    <cfRule type="top10" dxfId="9" priority="10" rank="1"/>
  </conditionalFormatting>
  <conditionalFormatting sqref="T49:T59">
    <cfRule type="top10" dxfId="8" priority="9" rank="1"/>
  </conditionalFormatting>
  <conditionalFormatting sqref="AD49:AD59">
    <cfRule type="top10" dxfId="7" priority="8" rank="1"/>
  </conditionalFormatting>
  <conditionalFormatting sqref="AF49:AF59">
    <cfRule type="top10" dxfId="6" priority="7" rank="1"/>
  </conditionalFormatting>
  <conditionalFormatting sqref="S49:S59">
    <cfRule type="top10" dxfId="5" priority="6" rank="1"/>
  </conditionalFormatting>
  <conditionalFormatting sqref="AG49:AG59">
    <cfRule type="top10" dxfId="4" priority="5" rank="1"/>
  </conditionalFormatting>
  <conditionalFormatting sqref="X49:X59">
    <cfRule type="top10" dxfId="3" priority="4" rank="1"/>
  </conditionalFormatting>
  <conditionalFormatting sqref="W49:W59">
    <cfRule type="top10" dxfId="2" priority="3" rank="1"/>
  </conditionalFormatting>
  <conditionalFormatting sqref="AC49:AC59">
    <cfRule type="top10" dxfId="1" priority="2" rank="1"/>
  </conditionalFormatting>
  <conditionalFormatting sqref="AB49:AB59">
    <cfRule type="top10" dxfId="0" priority="1" rank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9627FE-1668-4EA0-97B6-E6BF645C6F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NIFTY Next Expiry</vt:lpstr>
      <vt:lpstr>NIFTY Monthly Expiry</vt:lpstr>
      <vt:lpstr>BANKNIFTY Monthly Expiry</vt:lpstr>
      <vt:lpstr>Nifty Near Expiry</vt:lpstr>
      <vt:lpstr>BANKNIFTY Next Expiry</vt:lpstr>
      <vt:lpstr>BankNifty Near Expiry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HP</cp:lastModifiedBy>
  <dcterms:created xsi:type="dcterms:W3CDTF">2022-12-31T08:47:53Z</dcterms:created>
  <dcterms:modified xsi:type="dcterms:W3CDTF">2023-06-25T17:09:50Z</dcterms:modified>
</cp:coreProperties>
</file>